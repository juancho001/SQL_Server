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855" windowHeight="7170" activeTab="1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Hoja1!$C$1:$F$166</definedName>
    <definedName name="_xlnm._FilterDatabase" localSheetId="1" hidden="1">Hoja2!$A$1:$C$167</definedName>
  </definedNames>
  <calcPr calcId="124519"/>
</workbook>
</file>

<file path=xl/calcChain.xml><?xml version="1.0" encoding="utf-8"?>
<calcChain xmlns="http://schemas.openxmlformats.org/spreadsheetml/2006/main">
  <c r="F16" i="1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"/>
  <c r="F1"/>
  <c r="D1"/>
  <c r="D2"/>
  <c r="F2" s="1"/>
  <c r="D3"/>
  <c r="F3" s="1"/>
  <c r="D4"/>
  <c r="F4" s="1"/>
  <c r="D5"/>
  <c r="F5" s="1"/>
  <c r="D6"/>
  <c r="F6" s="1"/>
  <c r="D7"/>
  <c r="F7" s="1"/>
  <c r="D8"/>
  <c r="F8" s="1"/>
  <c r="D9"/>
  <c r="F9" s="1"/>
  <c r="D10"/>
  <c r="F10" s="1"/>
  <c r="D11"/>
  <c r="F11" s="1"/>
  <c r="D12"/>
  <c r="F12" s="1"/>
  <c r="D13"/>
  <c r="F13" s="1"/>
  <c r="D14"/>
  <c r="F14" s="1"/>
  <c r="D15"/>
  <c r="F15" s="1"/>
  <c r="D16"/>
  <c r="D17"/>
  <c r="F17" s="1"/>
  <c r="D18"/>
  <c r="F18" s="1"/>
  <c r="D19"/>
  <c r="F19" s="1"/>
  <c r="D20"/>
  <c r="F20" s="1"/>
  <c r="D21"/>
  <c r="F21" s="1"/>
  <c r="D22"/>
  <c r="F22" s="1"/>
  <c r="D23"/>
  <c r="F23" s="1"/>
  <c r="D24"/>
  <c r="F24" s="1"/>
  <c r="D25"/>
  <c r="F25" s="1"/>
  <c r="D26"/>
  <c r="F26" s="1"/>
  <c r="D27"/>
  <c r="F27" s="1"/>
  <c r="D28"/>
  <c r="F28" s="1"/>
  <c r="D29"/>
  <c r="F29" s="1"/>
  <c r="D30"/>
  <c r="F30" s="1"/>
  <c r="D31"/>
  <c r="F31" s="1"/>
  <c r="D32"/>
  <c r="F32" s="1"/>
  <c r="D33"/>
  <c r="F33" s="1"/>
  <c r="D34"/>
  <c r="F34" s="1"/>
  <c r="D35"/>
  <c r="F35" s="1"/>
  <c r="D36"/>
  <c r="F36" s="1"/>
  <c r="D37"/>
  <c r="F37" s="1"/>
  <c r="D38"/>
  <c r="F38" s="1"/>
  <c r="D39"/>
  <c r="F39" s="1"/>
  <c r="D40"/>
  <c r="F40" s="1"/>
  <c r="D41"/>
  <c r="F41" s="1"/>
  <c r="D42"/>
  <c r="F42" s="1"/>
  <c r="D43"/>
  <c r="F43" s="1"/>
  <c r="D44"/>
  <c r="F44" s="1"/>
  <c r="D45"/>
  <c r="F45" s="1"/>
  <c r="D46"/>
  <c r="F46" s="1"/>
  <c r="D47"/>
  <c r="F47" s="1"/>
  <c r="D48"/>
  <c r="F48" s="1"/>
  <c r="D49"/>
  <c r="F49" s="1"/>
  <c r="D50"/>
  <c r="F50" s="1"/>
  <c r="D51"/>
  <c r="F51" s="1"/>
  <c r="D52"/>
  <c r="F52" s="1"/>
  <c r="D53"/>
  <c r="F53" s="1"/>
  <c r="D54"/>
  <c r="F54" s="1"/>
  <c r="D55"/>
  <c r="F55" s="1"/>
  <c r="D56"/>
  <c r="F56" s="1"/>
  <c r="D57"/>
  <c r="F57" s="1"/>
  <c r="D58"/>
  <c r="F58" s="1"/>
  <c r="D59"/>
  <c r="F59" s="1"/>
  <c r="D60"/>
  <c r="F60" s="1"/>
  <c r="D61"/>
  <c r="F61" s="1"/>
  <c r="D62"/>
  <c r="F62" s="1"/>
  <c r="D63"/>
  <c r="F63" s="1"/>
  <c r="D64"/>
  <c r="F64" s="1"/>
  <c r="D65"/>
  <c r="F65" s="1"/>
  <c r="D66"/>
  <c r="F66" s="1"/>
  <c r="D67"/>
  <c r="F67" s="1"/>
  <c r="D68"/>
  <c r="F68" s="1"/>
  <c r="D69"/>
  <c r="F69" s="1"/>
  <c r="D70"/>
  <c r="F70" s="1"/>
  <c r="D71"/>
  <c r="F71" s="1"/>
  <c r="D72"/>
  <c r="F72" s="1"/>
  <c r="D73"/>
  <c r="F73" s="1"/>
  <c r="D74"/>
  <c r="F74" s="1"/>
  <c r="D75"/>
  <c r="F75" s="1"/>
  <c r="D76"/>
  <c r="F76" s="1"/>
  <c r="D77"/>
  <c r="F77" s="1"/>
  <c r="D78"/>
  <c r="F78" s="1"/>
  <c r="D79"/>
  <c r="F79" s="1"/>
  <c r="D80"/>
  <c r="F80" s="1"/>
  <c r="D81"/>
  <c r="F81" s="1"/>
  <c r="D82"/>
  <c r="F82" s="1"/>
  <c r="D83"/>
  <c r="F83" s="1"/>
  <c r="D84"/>
  <c r="F84" s="1"/>
  <c r="D85"/>
  <c r="F85" s="1"/>
  <c r="D86"/>
  <c r="F86" s="1"/>
  <c r="D87"/>
  <c r="F87" s="1"/>
  <c r="D88"/>
  <c r="F88" s="1"/>
  <c r="D89"/>
  <c r="F89" s="1"/>
  <c r="D90"/>
  <c r="F90" s="1"/>
  <c r="D91"/>
  <c r="F91" s="1"/>
  <c r="D92"/>
  <c r="F92" s="1"/>
  <c r="D93"/>
  <c r="F93" s="1"/>
  <c r="D94"/>
  <c r="F94" s="1"/>
  <c r="D95"/>
  <c r="F95" s="1"/>
  <c r="D96"/>
  <c r="F96" s="1"/>
  <c r="D97"/>
  <c r="F97" s="1"/>
  <c r="D98"/>
  <c r="F98" s="1"/>
  <c r="D99"/>
  <c r="F99" s="1"/>
  <c r="D100"/>
  <c r="F100" s="1"/>
  <c r="D101"/>
  <c r="F101" s="1"/>
  <c r="D102"/>
  <c r="F102" s="1"/>
  <c r="D103"/>
  <c r="F103" s="1"/>
  <c r="D104"/>
  <c r="F104" s="1"/>
  <c r="D105"/>
  <c r="F105" s="1"/>
  <c r="D106"/>
  <c r="F106" s="1"/>
  <c r="D107"/>
  <c r="F107" s="1"/>
  <c r="D108"/>
  <c r="F108" s="1"/>
  <c r="D109"/>
  <c r="F109" s="1"/>
  <c r="D110"/>
  <c r="F110" s="1"/>
  <c r="D111"/>
  <c r="F111" s="1"/>
  <c r="D112"/>
  <c r="F112" s="1"/>
  <c r="D113"/>
  <c r="F113" s="1"/>
  <c r="D114"/>
  <c r="F114" s="1"/>
  <c r="D115"/>
  <c r="F115" s="1"/>
  <c r="D116"/>
  <c r="F116" s="1"/>
  <c r="D117"/>
  <c r="F117" s="1"/>
  <c r="D118"/>
  <c r="F118" s="1"/>
  <c r="D119"/>
  <c r="F119" s="1"/>
  <c r="D120"/>
  <c r="F120" s="1"/>
  <c r="D121"/>
  <c r="F121" s="1"/>
  <c r="D122"/>
  <c r="F122" s="1"/>
  <c r="D123"/>
  <c r="F123" s="1"/>
  <c r="D124"/>
  <c r="F124" s="1"/>
  <c r="D125"/>
  <c r="F125" s="1"/>
  <c r="D126"/>
  <c r="F126" s="1"/>
  <c r="D127"/>
  <c r="F127" s="1"/>
  <c r="D128"/>
  <c r="F128" s="1"/>
  <c r="D129"/>
  <c r="F129" s="1"/>
  <c r="D130"/>
  <c r="F130" s="1"/>
  <c r="D131"/>
  <c r="F131" s="1"/>
  <c r="D132"/>
  <c r="F132" s="1"/>
  <c r="D133"/>
  <c r="F133" s="1"/>
  <c r="D134"/>
  <c r="F134" s="1"/>
  <c r="D135"/>
  <c r="F135" s="1"/>
  <c r="D136"/>
  <c r="F136" s="1"/>
  <c r="D137"/>
  <c r="F137" s="1"/>
  <c r="D138"/>
  <c r="F138" s="1"/>
  <c r="D139"/>
  <c r="F139" s="1"/>
  <c r="D140"/>
  <c r="F140" s="1"/>
  <c r="D141"/>
  <c r="F141" s="1"/>
  <c r="D142"/>
  <c r="F142" s="1"/>
  <c r="D143"/>
  <c r="F143" s="1"/>
  <c r="D144"/>
  <c r="F144" s="1"/>
  <c r="D145"/>
  <c r="F145" s="1"/>
  <c r="D146"/>
  <c r="F146" s="1"/>
  <c r="D147"/>
  <c r="F147" s="1"/>
  <c r="D148"/>
  <c r="F148" s="1"/>
  <c r="D149"/>
  <c r="F149" s="1"/>
  <c r="D150"/>
  <c r="F150" s="1"/>
  <c r="D151"/>
  <c r="F151" s="1"/>
  <c r="D152"/>
  <c r="F152" s="1"/>
  <c r="D153"/>
  <c r="F153" s="1"/>
  <c r="D154"/>
  <c r="F154" s="1"/>
  <c r="D155"/>
  <c r="F155" s="1"/>
  <c r="D156"/>
  <c r="F156" s="1"/>
  <c r="D157"/>
  <c r="F157" s="1"/>
  <c r="D158"/>
  <c r="F158" s="1"/>
  <c r="D159"/>
  <c r="F159" s="1"/>
  <c r="D160"/>
  <c r="F160" s="1"/>
  <c r="D161"/>
  <c r="F161" s="1"/>
  <c r="D162"/>
  <c r="F162" s="1"/>
  <c r="D163"/>
  <c r="F163" s="1"/>
  <c r="D164"/>
  <c r="F164" s="1"/>
  <c r="D165"/>
  <c r="F165" s="1"/>
  <c r="D166"/>
  <c r="F166" s="1"/>
</calcChain>
</file>

<file path=xl/sharedStrings.xml><?xml version="1.0" encoding="utf-8"?>
<sst xmlns="http://schemas.openxmlformats.org/spreadsheetml/2006/main" count="667" uniqueCount="451">
  <si>
    <t>INSERT INTO parroquia ( cn_id_municipio, cc_nombre_parroquia,   cl_status_parrroquia) VALUES (1, 1, 'CRISTO DE ARANZA', 100, NULL, NULL, NULL);</t>
  </si>
  <si>
    <t>INSERT INTO parroquia ( cn_id_municipio, cc_nombre_parroquia,   cl_status_parrroquia) VALUES (3, 1, 'ANTONIO BORJAS ROMERO', 102, NULL, NULL, NULL);</t>
  </si>
  <si>
    <t>INSERT INTO parroquia ( cn_id_municipio, cc_nombre_parroquia,   cl_status_parrroquia) VALUES (5, 1, 'VENANCIO PULGAR', 104, NULL, NULL, NULL);</t>
  </si>
  <si>
    <t>INSERT INTO parroquia ( cn_id_municipio, cc_nombre_parroquia,   cl_status_parrroquia) VALUES (8, 1, 'CECILIO ACOSTA', 107, NULL, NULL, NULL);</t>
  </si>
  <si>
    <t>INSERT INTO parroquia ( cn_id_municipio, cc_nombre_parroquia,   cl_status_parrroquia) VALUES (9, 1, 'MANUEL DAGNINO', 108, NULL, NULL, NULL);</t>
  </si>
  <si>
    <t>INSERT INTO parroquia ( cn_id_municipio, cc_nombre_parroquia,   cl_status_parrroquia) VALUES (10, 1, 'CACIQUE MARA', 109, NULL, NULL, NULL);</t>
  </si>
  <si>
    <t>INSERT INTO parroquia ( cn_id_municipio, cc_nombre_parroquia,   cl_status_parrroquia) VALUES (11, 1, 'IDELFONSO VASQUEZ', 110, NULL, NULL, NULL);</t>
  </si>
  <si>
    <t>INSERT INTO parroquia ( cn_id_municipio, cc_nombre_parroquia,   cl_status_parrroquia) VALUES (12, 1, 'COQUIVACOA', 111, NULL, NULL, NULL);</t>
  </si>
  <si>
    <t>INSERT INTO parroquia ( cn_id_municipio, cc_nombre_parroquia,   cl_status_parrroquia) VALUES (13, 1, 'OLEGARIO VILLALOBOS', 112, NULL, NULL, NULL);</t>
  </si>
  <si>
    <t>INSERT INTO parroquia ( cn_id_municipio, cc_nombre_parroquia,   cl_status_parrroquia) VALUES (18, 1, 'SAN ISIDRO', 117, NULL, NULL, NULL);</t>
  </si>
  <si>
    <t>INSERT INTO parroquia ( cn_id_municipio, cc_nombre_parroquia,   cl_status_parrroquia) VALUES (17, 1, 'SANTA LUCIA', 116, NULL, NULL, NULL);</t>
  </si>
  <si>
    <t>INSERT INTO parroquia ( cn_id_municipio, cc_nombre_parroquia,   cl_status_parrroquia) VALUES (14, 1, 'CHIQUINQUIRA', 113, NULL, NULL, NULL);</t>
  </si>
  <si>
    <t>INSERT INTO parroquia ( cn_id_municipio, cc_nombre_parroquia,   cl_status_parrroquia) VALUES (7, 1, 'JUANA DE AVILA', 106, NULL, NULL, NULL);</t>
  </si>
  <si>
    <t>INSERT INTO parroquia ( cn_id_municipio, cc_nombre_parroquia,   cl_status_parrroquia) VALUES (6, 1, 'RAUL LEONI', 105, NULL, NULL, NULL);</t>
  </si>
  <si>
    <t>INSERT INTO parroquia ( cn_id_municipio, cc_nombre_parroquia,   cl_status_parrroquia) VALUES (15, 1, 'BOLIVAR', 114, NULL, NULL, NULL);</t>
  </si>
  <si>
    <t>INSERT INTO parroquia ( cn_id_municipio, cc_nombre_parroquia,   cl_status_parrroquia) VALUES (2, 1, 'FRANCISCO EUGENIO BUSTAMANTE', 101, NULL, NULL, NULL);</t>
  </si>
  <si>
    <t>INSERT INTO parroquia ( cn_id_municipio, cc_nombre_parroquia,   cl_status_parrroquia) VALUES (4, 1, 'LUIS HURTADO HIGUERA', 103, NULL, NULL, NULL);</t>
  </si>
  <si>
    <t>INSERT INTO parroquia ( cn_id_municipio, cc_nombre_parroquia,   cl_status_parrroquia) VALUES (25, 1, 'VARIAS', 0, 1, '2006-01-01', 1);</t>
  </si>
  <si>
    <t>INSERT INTO parroquia ( cn_id_municipio, cc_nombre_parroquia,   cl_status_parrroquia) VALUES (23, 1, 'DESCONOCIDA', 0, 1, '2006-01-01', 1);</t>
  </si>
  <si>
    <t>INSERT INTO parroquia ( cn_id_municipio, cc_nombre_parroquia,   cl_status_parrroquia) VALUES (16, 1, 'CARRACCIOLO PARRA PEREZ', 115, NULL, NULL, NULL);</t>
  </si>
  <si>
    <t>INSERT INTO parroquia ( cn_id_municipio, cc_nombre_parroquia,   cl_status_parrroquia) VALUES (45, 7, 'VARIAS', 0, 1, '2006-05-18', 1);</t>
  </si>
  <si>
    <t>INSERT INTO parroquia ( cn_id_municipio, cc_nombre_parroquia,   cl_status_parrroquia) VALUES (74, 5, 'JOSE RAMON YEPEZ', 0, 1, '2006-05-18', 1);</t>
  </si>
  <si>
    <t>INSERT INTO parroquia ( cn_id_municipio, cc_nombre_parroquia,   cl_status_parrroquia) VALUES (75, 5, 'LA CONCEPCION', 0, 1, '2006-05-18', 1);</t>
  </si>
  <si>
    <t>INSERT INTO parroquia ( cn_id_municipio, cc_nombre_parroquia,   cl_status_parrroquia) VALUES (76, 5, 'SAN JOSE', 0, 1, '2006-05-18', 1);</t>
  </si>
  <si>
    <t>INSERT INTO parroquia ( cn_id_municipio, cc_nombre_parroquia,   cl_status_parrroquia) VALUES (81, 5, 'MARIANO PARRA LEON', 0, 1, '2006-05-18', 1);</t>
  </si>
  <si>
    <t>INSERT INTO parroquia ( cn_id_municipio, cc_nombre_parroquia,   cl_status_parrroquia) VALUES (84, 5, 'JESUS MARIA SEMPRUN', 0, 1, '2006-05-18', 1);</t>
  </si>
  <si>
    <t>INSERT INTO parroquia ( cn_id_municipio, cc_nombre_parroquia,   cl_status_parrroquia) VALUES (77, 6, 'ANDRES BELLO', 0, 1, '2006-05-18', 1);</t>
  </si>
  <si>
    <t>INSERT INTO parroquia ( cn_id_municipio, cc_nombre_parroquia,   cl_status_parrroquia) VALUES (78, 6, 'CONCEPCION', 0, 1, '2006-05-18', 1);</t>
  </si>
  <si>
    <t>INSERT INTO parroquia ( cn_id_municipio, cc_nombre_parroquia,   cl_status_parrroquia) VALUES (79, 6, 'EL CARMELO', 0, 1, '2006-05-18', 1);</t>
  </si>
  <si>
    <t>INSERT INTO parroquia ( cn_id_municipio, cc_nombre_parroquia,   cl_status_parrroquia) VALUES (80, 6, 'CHIQUINQUIRA', 0, 1, '2006-05-18', 1);</t>
  </si>
  <si>
    <t>INSERT INTO parroquia ( cn_id_municipio, cc_nombre_parroquia,   cl_status_parrroquia) VALUES (82, 6, 'PARROQUIAS VARIAS', 0, 1, '2006-05-18', 1);</t>
  </si>
  <si>
    <t>INSERT INTO parroquia ( cn_id_municipio, cc_nombre_parroquia,   cl_status_parrroquia) VALUES (86, 6, 'EL BAJO', 0, 1, '2006-05-18', 1);</t>
  </si>
  <si>
    <t>INSERT INTO parroquia ( cn_id_municipio, cc_nombre_parroquia,   cl_status_parrroquia) VALUES (87, 6, 'LA CONCEPCION', 0, 1, '2006-05-18', 1);</t>
  </si>
  <si>
    <t>INSERT INTO parroquia ( cn_id_municipio, cc_nombre_parroquia,   cl_status_parrroquia) VALUES (88, 5, 'DESCONOCIDA', 0, 1, '2006-01-01', 1);</t>
  </si>
  <si>
    <t>INSERT INTO parroquia ( cn_id_municipio, cc_nombre_parroquia,   cl_status_parrroquia) VALUES (89, 6, 'DESCONOCIDA', 0, 1, '2006-01-01', 1);</t>
  </si>
  <si>
    <t>INSERT INTO parroquia ( cn_id_municipio, cc_nombre_parroquia,   cl_status_parrroquia) VALUES (90, 5, 'JOSÉ RAMÓN YÉPEZ', 0, 1, '2006-01-01', 1);</t>
  </si>
  <si>
    <t>INSERT INTO parroquia ( cn_id_municipio, cc_nombre_parroquia,   cl_status_parrroquia) VALUES (91, 5, 'LA CONCEPCIÓN', 0, 1, '2006-01-01', 1);</t>
  </si>
  <si>
    <t>INSERT INTO parroquia ( cn_id_municipio, cc_nombre_parroquia,   cl_status_parrroquia) VALUES (92, 7, 'DESCONOCIDA', 0, 1, '2006-01-01', 1);</t>
  </si>
  <si>
    <t>INSERT INTO parroquia ( cn_id_municipio, cc_nombre_parroquia,   cl_status_parrroquia) VALUES (93, 6, 'CARMELO', 0, 1, '2006-01-01', 1);</t>
  </si>
  <si>
    <t>INSERT INTO parroquia ( cn_id_municipio, cc_nombre_parroquia,   cl_status_parrroquia) VALUES (94, 6, 'CONCEPCIÓN', 0, 1, '2006-01-01', 1);</t>
  </si>
  <si>
    <t>INSERT INTO parroquia ( cn_id_municipio, cc_nombre_parroquia,   cl_status_parrroquia) VALUES (103, 21, 'ALTAGRACIA', 0, 1, '2006-05-18', 1);</t>
  </si>
  <si>
    <t>INSERT INTO parroquia ( cn_id_municipio, cc_nombre_parroquia,   cl_status_parrroquia) VALUES (106, 15, 'VARIAS', 0, 1, '2006-05-18', 1);</t>
  </si>
  <si>
    <t>INSERT INTO parroquia ( cn_id_municipio, cc_nombre_parroquia,   cl_status_parrroquia) VALUES (108, 20, 'SANTA RITA', 0, 1, '2006-05-18', 1);</t>
  </si>
  <si>
    <t>INSERT INTO parroquia ( cn_id_municipio, cc_nombre_parroquia,   cl_status_parrroquia) VALUES (109, 21, 'SAN ANTONIO', 0, 1, '2006-05-18', 1);</t>
  </si>
  <si>
    <t>INSERT INTO parroquia ( cn_id_municipio, cc_nombre_parroquia,   cl_status_parrroquia) VALUES (110, 21, 'SAN JOSE', 0, 1, '2006-05-18', 1);</t>
  </si>
  <si>
    <t>INSERT INTO parroquia ( cn_id_municipio, cc_nombre_parroquia,   cl_status_parrroquia) VALUES (114, 20, 'EL MENE', 0, 1, '2006-05-18', 1);</t>
  </si>
  <si>
    <t>INSERT INTO parroquia ( cn_id_municipio, cc_nombre_parroquia,   cl_status_parrroquia) VALUES (116, 20, 'PEDRO LUCAS URRIBARRI', 0, 1, '2006-05-18', 1);</t>
  </si>
  <si>
    <t>INSERT INTO parroquia ( cn_id_municipio, cc_nombre_parroquia,   cl_status_parrroquia) VALUES (118, 20, 'JOSE CENOVIO URRIBARRI', 0, 1, '2006-05-18', 1);</t>
  </si>
  <si>
    <t>INSERT INTO parroquia ( cn_id_municipio, cc_nombre_parroquia,   cl_status_parrroquia) VALUES (119, 21, 'VARIAS', 0, 1, '2006-05-18', 1);</t>
  </si>
  <si>
    <t>INSERT INTO parroquia ( cn_id_municipio, cc_nombre_parroquia,   cl_status_parrroquia) VALUES (120, 20, 'VARIOS', 0, 1, '2006-05-18', 1);</t>
  </si>
  <si>
    <t>INSERT INTO parroquia ( cn_id_municipio, cc_nombre_parroquia,   cl_status_parrroquia) VALUES (121, 21, 'FARÍA', 0, 1, '2006-05-18', 1);</t>
  </si>
  <si>
    <t>INSERT INTO parroquia ( cn_id_municipio, cc_nombre_parroquia,   cl_status_parrroquia) VALUES (122, 21, 'ANA MARIA CAMPOS', 0, 1, '2006-05-18', 1);</t>
  </si>
  <si>
    <t>INSERT INTO parroquia ( cn_id_municipio, cc_nombre_parroquia,   cl_status_parrroquia) VALUES (131, 15, 'DESCONOCIDA', 0, NULL, NULL, NULL);</t>
  </si>
  <si>
    <t>INSERT INTO parroquia ( cn_id_municipio, cc_nombre_parroquia,   cl_status_parrroquia) VALUES (132, 21, 'DESCONOCIDA', 0, NULL, NULL, NULL);</t>
  </si>
  <si>
    <t>INSERT INTO parroquia ( cn_id_municipio, cc_nombre_parroquia,   cl_status_parrroquia) VALUES (133, 20, 'DESCONOCIDA', 0, NULL, NULL, NULL);</t>
  </si>
  <si>
    <t>INSERT INTO parroquia ( cn_id_municipio, cc_nombre_parroquia,   cl_status_parrroquia) VALUES (137, 13, 'ALONSO DE OJEDA', 0, 1, '2006-05-18', 1);</t>
  </si>
  <si>
    <t>INSERT INTO parroquia ( cn_id_municipio, cc_nombre_parroquia,   cl_status_parrroquia) VALUES (139, 13, 'ELEAZAR LÓPEZ CONTRERAS', 0, 1, '2006-05-18', 1);</t>
  </si>
  <si>
    <t>INSERT INTO parroquia ( cn_id_municipio, cc_nombre_parroquia,   cl_status_parrroquia) VALUES (140, 13, 'VENEZUELA', 0, 1, '2006-05-18', 1);</t>
  </si>
  <si>
    <t>INSERT INTO parroquia ( cn_id_municipio, cc_nombre_parroquia,   cl_status_parrroquia) VALUES (141, 13, 'LIBERTAD', 0, 1, '2006-05-18', 1);</t>
  </si>
  <si>
    <t>INSERT INTO parroquia ( cn_id_municipio, cc_nombre_parroquia,   cl_status_parrroquia) VALUES (149, 13, 'CAMPO LARA', 0, 1, '2006-05-18', 1);</t>
  </si>
  <si>
    <t>INSERT INTO parroquia ( cn_id_municipio, cc_nombre_parroquia,   cl_status_parrroquia) VALUES (150, 13, 'LAGUNILLAS', 0, 1, '2006-05-18', 1);</t>
  </si>
  <si>
    <t>INSERT INTO parroquia ( cn_id_municipio, cc_nombre_parroquia,   cl_status_parrroquia) VALUES (153, 13, 'VARIOS', 0, 1, '2006-05-18', 1);</t>
  </si>
  <si>
    <t>INSERT INTO parroquia ( cn_id_municipio, cc_nombre_parroquia,   cl_status_parrroquia) VALUES (142, 19, 'MANUEL MANRIQUE', 0, 1, '2006-05-18', 1);</t>
  </si>
  <si>
    <t>INSERT INTO parroquia ( cn_id_municipio, cc_nombre_parroquia,   cl_status_parrroquia) VALUES (143, 19, 'RAFAEL MARIA BARALT', 0, 1, '2006-05-18', 1);</t>
  </si>
  <si>
    <t>INSERT INTO parroquia ( cn_id_municipio, cc_nombre_parroquia,   cl_status_parrroquia) VALUES (155, 19, 'RAFAEL URDANETA', 0, 1, '2006-05-18', 1);</t>
  </si>
  <si>
    <t>INSERT INTO parroquia ( cn_id_municipio, cc_nombre_parroquia,   cl_status_parrroquia) VALUES (144, 14, 'LA VICTORIA', 0, 1, '2006-05-18', 1);</t>
  </si>
  <si>
    <t>INSERT INTO parroquia ( cn_id_municipio, cc_nombre_parroquia,   cl_status_parrroquia) VALUES (145, 14, 'RAUL CUENCA', 0, 1, '2006-05-18', 1);</t>
  </si>
  <si>
    <t>INSERT INTO parroquia ( cn_id_municipio, cc_nombre_parroquia,   cl_status_parrroquia) VALUES (147, 14, 'VARIAS', 0, 1, '2006-05-18', 1);</t>
  </si>
  <si>
    <t>INSERT INTO parroquia ( cn_id_municipio, cc_nombre_parroquia,   cl_status_parrroquia) VALUES (148, 14, 'RAFAEL URDANETA', 0, 1, '2006-05-18', 1);</t>
  </si>
  <si>
    <t>INSERT INTO parroquia ( cn_id_municipio, cc_nombre_parroquia,   cl_status_parrroquia) VALUES (157, 14, 'VARIOS', 0, 1, '2006-05-18', 1);</t>
  </si>
  <si>
    <t>INSERT INTO parroquia ( cn_id_municipio, cc_nombre_parroquia,   cl_status_parrroquia) VALUES (138, 13, 'DESCONOCIDA', 0, 1, '2006-05-18', 1);</t>
  </si>
  <si>
    <t>INSERT INTO parroquia ( cn_id_municipio, cc_nombre_parroquia,   cl_status_parrroquia) VALUES (158, 18, 'LIBERTADOR', 0, 1, '2006-05-18', 1);</t>
  </si>
  <si>
    <t>INSERT INTO parroquia ( cn_id_municipio, cc_nombre_parroquia,   cl_status_parrroquia) VALUES (159, 18, 'DESCONOCIDA', 0, 1, '2006-05-18', 1);</t>
  </si>
  <si>
    <t>INSERT INTO parroquia ( cn_id_municipio, cc_nombre_parroquia,   cl_status_parrroquia) VALUES (160, 18, 'MANUEL GUANIPA MATOS', 0, 1, '2006-05-18', 1);</t>
  </si>
  <si>
    <t>INSERT INTO parroquia ( cn_id_municipio, cc_nombre_parroquia,   cl_status_parrroquia) VALUES (161, 18, 'PUEBLO NUEVO', 0, 1, '2006-05-18', 1);</t>
  </si>
  <si>
    <t>INSERT INTO parroquia ( cn_id_municipio, cc_nombre_parroquia,   cl_status_parrroquia) VALUES (162, 18, 'MARCELINO BRICEÑO', 0, 1, '2006-05-18', 1);</t>
  </si>
  <si>
    <t>INSERT INTO parroquia ( cn_id_municipio, cc_nombre_parroquia,   cl_status_parrroquia) VALUES (163, 18, 'SAN TIMOTEO', 0, 1, '2006-05-18', 1);</t>
  </si>
  <si>
    <t>INSERT INTO parroquia ( cn_id_municipio, cc_nombre_parroquia,   cl_status_parrroquia) VALUES (165, 18, 'GENERAL RAFAEL URDANETA', 0, 1, '2006-05-18', 1);</t>
  </si>
  <si>
    <t>INSERT INTO parroquia ( cn_id_municipio, cc_nombre_parroquia,   cl_status_parrroquia) VALUES (166, 18, 'MENE GRANDE', 0, 1, '2006-05-18', 1);</t>
  </si>
  <si>
    <t>INSERT INTO parroquia ( cn_id_municipio, cc_nombre_parroquia,   cl_status_parrroquia) VALUES (167, 18, 'VARIAS', 0, 1, '2006-05-18', 1);</t>
  </si>
  <si>
    <t>INSERT INTO parroquia ( cn_id_municipio, cc_nombre_parroquia,   cl_status_parrroquia) VALUES (169, 18, 'PUEBLO NUEVO Y LIBERTADOR', 0, 1, '2006-07-31', 1);</t>
  </si>
  <si>
    <t>INSERT INTO parroquia ( cn_id_municipio, cc_nombre_parroquia,   cl_status_parrroquia) VALUES (170, 14, 'DESCONOCIDA', 0, 1, '2006-07-31', 1);</t>
  </si>
  <si>
    <t>INSERT INTO parroquia ( cn_id_municipio, cc_nombre_parroquia,   cl_status_parrroquia) VALUES (171, 19, 'DESCONOCIDA', 0, 1, '2006-07-31', 1);</t>
  </si>
  <si>
    <t>INSERT INTO parroquia ( cn_id_municipio, cc_nombre_parroquia,   cl_status_parrroquia) VALUES (239, 4, 'ISLA DE TOAS', 0, 1, '2006-08-09', 1);</t>
  </si>
  <si>
    <t>INSERT INTO parroquia ( cn_id_municipio, cc_nombre_parroquia,   cl_status_parrroquia) VALUES (240, 16, 'ENCONTRADOS', 0, 1, '2006-08-09', 1);</t>
  </si>
  <si>
    <t>INSERT INTO parroquia ( cn_id_municipio, cc_nombre_parroquia,   cl_status_parrroquia) VALUES (250, 3, 'LAS PARCELAS', 0, 1, '2006-08-09', 1);</t>
  </si>
  <si>
    <t>INSERT INTO parroquia ( cn_id_municipio, cc_nombre_parroquia,   cl_status_parrroquia) VALUES (251, 3, 'LUIS DE VICENTE', 0, 1, '2006-08-09', 1);</t>
  </si>
  <si>
    <t>INSERT INTO parroquia ( cn_id_municipio, cc_nombre_parroquia,   cl_status_parrroquia) VALUES (252, 3, 'LA SIERRITA', 0, 1, '2006-08-09', 1);</t>
  </si>
  <si>
    <t>INSERT INTO parroquia ( cn_id_municipio, cc_nombre_parroquia,   cl_status_parrroquia) VALUES (253, 3, 'RICAURTE', 0, 1, '2006-08-09', 1);</t>
  </si>
  <si>
    <t>INSERT INTO parroquia ( cn_id_municipio, cc_nombre_parroquia,   cl_status_parrroquia) VALUES (254, 3, 'SAN RAFAEL DEL MOJAN', 0, 1, '2006-08-09', 1);</t>
  </si>
  <si>
    <t>INSERT INTO parroquia ( cn_id_municipio, cc_nombre_parroquia,   cl_status_parrroquia) VALUES (255, 3, 'VARIAS', 0, 1, '2006-08-09', 1);</t>
  </si>
  <si>
    <t>INSERT INTO parroquia ( cn_id_municipio, cc_nombre_parroquia,   cl_status_parrroquia) VALUES (257, 2, 'GUAJIRA', 0, 1, '2006-08-09', 1);</t>
  </si>
  <si>
    <t>INSERT INTO parroquia ( cn_id_municipio, cc_nombre_parroquia,   cl_status_parrroquia) VALUES (258, 2, 'ALTA GUAJIRA', 0, 1, '2006-08-09', 1);</t>
  </si>
  <si>
    <t>INSERT INTO parroquia ( cn_id_municipio, cc_nombre_parroquia,   cl_status_parrroquia) VALUES (267, 8, 'BOBURES', 0, 1, '2006-08-09', 1);</t>
  </si>
  <si>
    <t>INSERT INTO parroquia ( cn_id_municipio, cc_nombre_parroquia,   cl_status_parrroquia) VALUES (270, 4, 'MONAGAS', 0, 1, '2006-08-09', 1);</t>
  </si>
  <si>
    <t>INSERT INTO parroquia ( cn_id_municipio, cc_nombre_parroquia,   cl_status_parrroquia) VALUES (275, 3, 'MARCOS SERGIO GODOY', 0, 1, '2006-08-09', 1);</t>
  </si>
  <si>
    <t>INSERT INTO parroquia ( cn_id_municipio, cc_nombre_parroquia,   cl_status_parrroquia) VALUES (277, 2, 'SINAMAICA', 0, 1, '2006-08-09', 1);</t>
  </si>
  <si>
    <t>INSERT INTO parroquia ( cn_id_municipio, cc_nombre_parroquia,   cl_status_parrroquia) VALUES (278, 2, 'ELIAS SANCHEZ RUBIO', 0, 1, '2006-08-09', 1);</t>
  </si>
  <si>
    <t>INSERT INTO parroquia ( cn_id_municipio, cc_nombre_parroquia,   cl_status_parrroquia) VALUES (287, 8, 'ROMULO GALLEGOS', 0, 1, '2006-08-09', 1);</t>
  </si>
  <si>
    <t>INSERT INTO parroquia ( cn_id_municipio, cc_nombre_parroquia,   cl_status_parrroquia) VALUES (288, 8, 'EL BATEY', 0, 1, '2006-08-09', 1);</t>
  </si>
  <si>
    <t>INSERT INTO parroquia ( cn_id_municipio, cc_nombre_parroquia,   cl_status_parrroquia) VALUES (291, 8, 'VARIAS', 0, 1, '2006-08-09', 1);</t>
  </si>
  <si>
    <t>INSERT INTO parroquia ( cn_id_municipio, cc_nombre_parroquia,   cl_status_parrroquia) VALUES (292, 16, 'UDON PEREZ', 0, 1, '2006-08-09', 1);</t>
  </si>
  <si>
    <t>INSERT INTO parroquia ( cn_id_municipio, cc_nombre_parroquia,   cl_status_parrroquia) VALUES (293, 16, 'VARIAS', 0, 1, '2006-08-09', 1);</t>
  </si>
  <si>
    <t>INSERT INTO parroquia ( cn_id_municipio, cc_nombre_parroquia,   cl_status_parrroquia) VALUES (299, 3, 'TAMARE', 0, 1, '2006-08-09', 1);</t>
  </si>
  <si>
    <t>INSERT INTO parroquia ( cn_id_municipio, cc_nombre_parroquia,   cl_status_parrroquia) VALUES (309, 8, 'MONSEÑOR ARTURO CELESTINO ALVAREZ', 0, 1, '2006-08-09', 1);</t>
  </si>
  <si>
    <t>INSERT INTO parroquia ( cn_id_municipio, cc_nombre_parroquia,   cl_status_parrroquia) VALUES (310, 8, 'HERAS', 0, 1, '2006-08-09', 1);</t>
  </si>
  <si>
    <t>INSERT INTO parroquia ( cn_id_municipio, cc_nombre_parroquia,   cl_status_parrroquia) VALUES (328, 8, 'GIBRALTAR', 0, 1, '2006-08-09', 1);</t>
  </si>
  <si>
    <t>INSERT INTO parroquia ( cn_id_municipio, cc_nombre_parroquia,   cl_status_parrroquia) VALUES (360, 8, 'SANTA MARIA', 0, 1, '2006-08-09', 1);</t>
  </si>
  <si>
    <t>INSERT INTO parroquia ( cn_id_municipio, cc_nombre_parroquia,   cl_status_parrroquia) VALUES (361, 4, 'LIBERTADOR', 0, 1, '2006-08-09', 1);</t>
  </si>
  <si>
    <t>INSERT INTO parroquia ( cn_id_municipio, cc_nombre_parroquia,   cl_status_parrroquia) VALUES (364, 3, 'SAN RAFAEL', 0, 1, '2006-08-09', 1);</t>
  </si>
  <si>
    <t>INSERT INTO parroquia ( cn_id_municipio, cc_nombre_parroquia,   cl_status_parrroquia) VALUES (371, 3, 'SECTORES VARIOS', 0, 1, '2006-08-09', 1);</t>
  </si>
  <si>
    <t>INSERT INTO parroquia ( cn_id_municipio, cc_nombre_parroquia,   cl_status_parrroquia) VALUES (372, 2, 'VARIOS', 0, 1, '2006-08-09', 1);</t>
  </si>
  <si>
    <t>INSERT INTO parroquia ( cn_id_municipio, cc_nombre_parroquia,   cl_status_parrroquia) VALUES (241, 17, 'SANTA BARBARA', 0, 1, '2006-08-09', 1);</t>
  </si>
  <si>
    <t>INSERT INTO parroquia ( cn_id_municipio, cc_nombre_parroquia,   cl_status_parrroquia) VALUES (242, 17, 'URRIBARRI', 0, 1, '2006-08-09', 1);</t>
  </si>
  <si>
    <t>INSERT INTO parroquia ( cn_id_municipio, cc_nombre_parroquia,   cl_status_parrroquia) VALUES (243, 17, 'SAN CARLOS DEL ZULIA', 0, 1, '2006-08-09', 1);</t>
  </si>
  <si>
    <t>INSERT INTO parroquia ( cn_id_municipio, cc_nombre_parroquia,   cl_status_parrroquia) VALUES (244, 17, 'MORALITO', 0, 1, '2006-08-09', 1);</t>
  </si>
  <si>
    <t>INSERT INTO parroquia ( cn_id_municipio, cc_nombre_parroquia,   cl_status_parrroquia) VALUES (272, 17, 'SANTA CRUZ DEL ZULIA', 0, 1, '2006-08-09', 1);</t>
  </si>
  <si>
    <t>INSERT INTO parroquia ( cn_id_municipio, cc_nombre_parroquia,   cl_status_parrroquia) VALUES (314, 17, 'VARIAS', 0, 1, '2006-08-09', 1);</t>
  </si>
  <si>
    <t>INSERT INTO parroquia ( cn_id_municipio, cc_nombre_parroquia,   cl_status_parrroquia) VALUES (246, 12, 'CARLOS QUEVEDO', 0, 1, '2006-08-09', 1);</t>
  </si>
  <si>
    <t>INSERT INTO parroquia ( cn_id_municipio, cc_nombre_parroquia,   cl_status_parrroquia) VALUES (247, 12, 'FRANCISCO JAVIER PULGAR', 0, 1, '2006-08-09', 1);</t>
  </si>
  <si>
    <t>INSERT INTO parroquia ( cn_id_municipio, cc_nombre_parroquia,   cl_status_parrroquia) VALUES (248, 12, 'SIMON RODRIGUEZ', 0, 1, '2006-08-09', 1);</t>
  </si>
  <si>
    <t>INSERT INTO parroquia ( cn_id_municipio, cc_nombre_parroquia,   cl_status_parrroquia) VALUES (315, 12, 'VARIAS', 0, 1, '2006-08-09', 1);</t>
  </si>
  <si>
    <t>INSERT INTO parroquia ( cn_id_municipio, cc_nombre_parroquia,   cl_status_parrroquia) VALUES (362, 12, 'BARI', 0, 1, '2006-08-09', 1);</t>
  </si>
  <si>
    <t>INSERT INTO parroquia ( cn_id_municipio, cc_nombre_parroquia,   cl_status_parrroquia) VALUES (274, 11, 'LIBERTAD', 0, 1, '2006-08-09', 1);</t>
  </si>
  <si>
    <t>INSERT INTO parroquia ( cn_id_municipio, cc_nombre_parroquia,   cl_status_parrroquia) VALUES (295, 11, 'SAN JOSE DE PERIJA', 0, 1, '2006-08-09', 1);</t>
  </si>
  <si>
    <t>INSERT INTO parroquia ( cn_id_municipio, cc_nombre_parroquia,   cl_status_parrroquia) VALUES (297, 11, 'RIO NEGRO', 0, 1, '2006-08-09', 1);</t>
  </si>
  <si>
    <t>INSERT INTO parroquia ( cn_id_municipio, cc_nombre_parroquia,   cl_status_parrroquia) VALUES (298, 11, 'BARTOLOME DE LAS CASAS', 0, 1, '2006-08-09', 1);</t>
  </si>
  <si>
    <t>INSERT INTO parroquia ( cn_id_municipio, cc_nombre_parroquia,   cl_status_parrroquia) VALUES (329, 11, 'VARIAS', 0, 1, '2006-08-09', 1);</t>
  </si>
  <si>
    <t>INSERT INTO parroquia ( cn_id_municipio, cc_nombre_parroquia,   cl_status_parrroquia) VALUES (363, 11, 'MACHIQUES', 0, 1, '2006-08-09', 1);</t>
  </si>
  <si>
    <t>INSERT INTO parroquia ( cn_id_municipio, cc_nombre_parroquia,   cl_status_parrroquia) VALUES (259, 9, 'DONALDO GARCIA', 0, 1, '2006-08-09', 1);</t>
  </si>
  <si>
    <t>INSERT INTO parroquia ( cn_id_municipio, cc_nombre_parroquia,   cl_status_parrroquia) VALUES (260, 9, 'EL ROSARIO', 0, 1, '2006-08-09', 1);</t>
  </si>
  <si>
    <t>INSERT INTO parroquia ( cn_id_municipio, cc_nombre_parroquia,   cl_status_parrroquia) VALUES (308, 9, 'BARRANQUITA', 0, 1, '2006-08-09', 1);</t>
  </si>
  <si>
    <t>INSERT INTO parroquia ( cn_id_municipio, cc_nombre_parroquia,   cl_status_parrroquia) VALUES (368, 9, 'VARIOS', 0, 1, '2006-08-09', 1);</t>
  </si>
  <si>
    <t>INSERT INTO parroquia ( cn_id_municipio, cc_nombre_parroquia,   cl_status_parrroquia) VALUES (249, 10, 'JESUS MARIA SEMPRUN', 0, 1, '2006-08-09', 1);</t>
  </si>
  <si>
    <t>INSERT INTO parroquia ( cn_id_municipio, cc_nombre_parroquia,   cl_status_parrroquia) VALUES (311, 10, 'BARI', 0, 1, '2006-08-09', 1);</t>
  </si>
  <si>
    <t>INSERT INTO parroquia ( cn_id_municipio, cc_nombre_parroquia,   cl_status_parrroquia) VALUES (312, 10, 'VIA ALTERNA A CASIGUA', 0, 1, '2006-08-09', 1);</t>
  </si>
  <si>
    <t>INSERT INTO parroquia ( cn_id_municipio, cc_nombre_parroquia,   cl_status_parrroquia) VALUES (370, 10, 'CASIGUA EL CUBO', 0, 1, '2006-08-09', 1);</t>
  </si>
  <si>
    <t>INSERT INTO parroquia ( cn_id_municipio, cc_nombre_parroquia,   cl_status_parrroquia) VALUES (176, 10, 'VARIAS', 0, 1, '2006-08-11', 1);</t>
  </si>
  <si>
    <t>INSERT INTO parroquia ( cn_id_municipio, cc_nombre_parroquia,   cl_status_parrroquia) VALUES (39, 7, 'DOMITILA FLORES', 64, 1, '2006-05-18', 1);</t>
  </si>
  <si>
    <t>INSERT INTO parroquia ( cn_id_municipio, cc_nombre_parroquia,   cl_status_parrroquia) VALUES (40, 7, 'SAN FRANCISCO', 62, 1, '2006-05-18', 1);</t>
  </si>
  <si>
    <t>INSERT INTO parroquia ( cn_id_municipio, cc_nombre_parroquia,   cl_status_parrroquia) VALUES (41, 7, 'FRANCISCO OCHOA', 63, 1, '2006-05-18', 1);</t>
  </si>
  <si>
    <t>INSERT INTO parroquia ( cn_id_municipio, cc_nombre_parroquia,   cl_status_parrroquia) VALUES (42, 7, 'EL BAJO', 61, 1, '2006-05-18', 1);</t>
  </si>
  <si>
    <t>INSERT INTO parroquia ( cn_id_municipio, cc_nombre_parroquia,   cl_status_parrroquia) VALUES (43, 7, 'LOS CORTIJOS', 65, 1, '2006-05-18', 1);</t>
  </si>
  <si>
    <t>INSERT INTO parroquia ( cn_id_municipio, cc_nombre_parroquia,   cl_status_parrroquia) VALUES (44, 7, 'MARCIAL HERNANDEZ', 66, 1, '2006-05-18', 1);</t>
  </si>
  <si>
    <t>INSERT INTO parroquia ( cn_id_municipio, cc_nombre_parroquia,   cl_status_parrroquia) VALUES (177, 25, 'VARIAS', 0, 1, '2006-08-09', 1);</t>
  </si>
  <si>
    <t>INSERT INTO parroquia ( cn_id_municipio, cc_nombre_parroquia,   cl_status_parrroquia) VALUES (245, 17, 'DESCONOCIDA', 0, 1, '2006-08-09', 1);</t>
  </si>
  <si>
    <t>INSERT INTO parroquia ( cn_id_municipio, cc_nombre_parroquia,   cl_status_parrroquia) VALUES (294, 12, 'DESCONOCIDA', 0, 1, '2006-08-09', 1);</t>
  </si>
  <si>
    <t>INSERT INTO parroquia ( cn_id_municipio, cc_nombre_parroquia,   cl_status_parrroquia) VALUES (300, 2, 'DESCONOCIDA', 0, 1, '2006-08-09', 1);</t>
  </si>
  <si>
    <t>INSERT INTO parroquia ( cn_id_municipio, cc_nombre_parroquia,   cl_status_parrroquia) VALUES (256, 3, 'DESCONOCIDA', 0, 1, '2006-08-09', 1);</t>
  </si>
  <si>
    <t>INSERT INTO parroquia ( cn_id_municipio, cc_nombre_parroquia,   cl_status_parrroquia) VALUES (375, 4, 'DESCONOCIDA', 0, 1, '2006-08-09', 1);</t>
  </si>
  <si>
    <t>INSERT INTO parroquia ( cn_id_municipio, cc_nombre_parroquia,   cl_status_parrroquia) VALUES (268, 8, 'DESCONOCIDA', 0, 1, '2006-08-09', 1);</t>
  </si>
  <si>
    <t>INSERT INTO parroquia ( cn_id_municipio, cc_nombre_parroquia,   cl_status_parrroquia) VALUES (303, 9, 'DESCONOCIDA', 0, 1, '2006-08-09', 1);</t>
  </si>
  <si>
    <t>INSERT INTO parroquia ( cn_id_municipio, cc_nombre_parroquia,   cl_status_parrroquia) VALUES (313, 10, 'DESCONOCIDA', 0, 1, '2006-08-09', 1);</t>
  </si>
  <si>
    <t>INSERT INTO parroquia ( cn_id_municipio, cc_nombre_parroquia,   cl_status_parrroquia) VALUES (296, 11, 'DESCONOCIDA', 0, 1, '2006-08-09', 1);</t>
  </si>
  <si>
    <t>INSERT INTO parroquia ( cn_id_municipio, cc_nombre_parroquia,   cl_status_parrroquia) VALUES (271, 16, 'DESCONOCIDA', 0, 1, '2006-08-09', 1);</t>
  </si>
  <si>
    <t>INSERT INTO parroquia ( cn_id_municipio, cc_nombre_parroquia,   cl_status_parrroquia) VALUES (409, 9, 'SIXTO ZAMBRANO', 0, 1, '2006-09-13', 1);</t>
  </si>
  <si>
    <t>INSERT INTO parroquia ( cn_id_municipio, cc_nombre_parroquia,   cl_status_parrroquia) VALUES (410, 9, 'LA VILLA DEL ROSARIO', 0, 1, '2006-09-13', 1);</t>
  </si>
  <si>
    <t>INSERT INTO parroquia ( cn_id_municipio, cc_nombre_parroquia,   cl_status_parrroquia) VALUES (95, 15, 'AMBROSIO', 118, 1, '2006-05-18', 1);</t>
  </si>
  <si>
    <t>INSERT INTO parroquia ( cn_id_municipio, cc_nombre_parroquia,   cl_status_parrroquia) VALUES (96, 15, 'JORGE HERNANDEZ', 119, 1, '2006-05-18', 1);</t>
  </si>
  <si>
    <t>INSERT INTO parroquia ( cn_id_municipio, cc_nombre_parroquia,   cl_status_parrroquia) VALUES (97, 15, 'GERMAN RIOS LINARES', 120, 1, '2006-05-18', 1);</t>
  </si>
  <si>
    <t>INSERT INTO parroquia ( cn_id_municipio, cc_nombre_parroquia,   cl_status_parrroquia) VALUES (98, 15, 'CARMEN HERRERA', 121, 1, '2006-05-18', 1);</t>
  </si>
  <si>
    <t>INSERT INTO parroquia ( cn_id_municipio, cc_nombre_parroquia,   cl_status_parrroquia) VALUES (99, 15, 'ARISTIDES CALVANI', 122, 1, '2006-05-18', 1);</t>
  </si>
  <si>
    <t>INSERT INTO parroquia ( cn_id_municipio, cc_nombre_parroquia,   cl_status_parrroquia) VALUES (100, 15, 'LA ROSA', 123, 1, '2006-05-18', 1);</t>
  </si>
  <si>
    <t>INSERT INTO parroquia ( cn_id_municipio, cc_nombre_parroquia,   cl_status_parrroquia) VALUES (101, 15, 'SAN BENITO', 124, 1, '2006-05-18', 1);</t>
  </si>
  <si>
    <t>INSERT INTO parroquia ( cn_id_municipio, cc_nombre_parroquia,   cl_status_parrroquia) VALUES (104, 15, 'ROMULO BETANCOURT', 125, 1, '2006-05-18', 1);</t>
  </si>
  <si>
    <t>INSERT INTO parroquia ( cn_id_municipio, cc_nombre_parroquia,   cl_status_parrroquia) VALUES (105, 15, 'PUNTA GORDA', 126, 1, '2006-05-18', 1);</t>
  </si>
  <si>
    <t xml:space="preserve"> 'CRISTO DE ARANZA', 100, NULL</t>
  </si>
  <si>
    <t xml:space="preserve"> 'ANTONIO BORJAS ROMERO', 102,</t>
  </si>
  <si>
    <t xml:space="preserve"> 'VENANCIO PULGAR', 104, NULL,</t>
  </si>
  <si>
    <t xml:space="preserve"> 'CECILIO ACOSTA', 107, NULL, </t>
  </si>
  <si>
    <t xml:space="preserve"> 'MANUEL DAGNINO', 108, NULL, </t>
  </si>
  <si>
    <t>, 'CACIQUE MARA', 109, NULL, N</t>
  </si>
  <si>
    <t>, 'IDELFONSO VASQUEZ', 110, NU</t>
  </si>
  <si>
    <t>, 'COQUIVACOA', 111, NULL, NUL</t>
  </si>
  <si>
    <t xml:space="preserve">, 'OLEGARIO VILLALOBOS', 112, </t>
  </si>
  <si>
    <t>, 'SAN ISIDRO', 117, NULL, NUL</t>
  </si>
  <si>
    <t>, 'SANTA LUCIA', 116, NULL, NU</t>
  </si>
  <si>
    <t>, 'CHIQUINQUIRA', 113, NULL, N</t>
  </si>
  <si>
    <t xml:space="preserve"> 'JUANA DE AVILA', 106, NULL, </t>
  </si>
  <si>
    <t xml:space="preserve"> 'RAUL LEONI', 105, NULL, NULL</t>
  </si>
  <si>
    <t xml:space="preserve">, 'BOLIVAR', 114, NULL, NULL, </t>
  </si>
  <si>
    <t xml:space="preserve"> 'FRANCISCO EUGENIO BUSTAMANTE</t>
  </si>
  <si>
    <t xml:space="preserve"> 'LUIS HURTADO HIGUERA', 103, </t>
  </si>
  <si>
    <t>, 'VARIAS', 0, 1, '2006-01-01'</t>
  </si>
  <si>
    <t>, 'DESCONOCIDA', 0, 1, '2006-0</t>
  </si>
  <si>
    <t>, 'CARRACCIOLO PARRA PEREZ', 1</t>
  </si>
  <si>
    <t>, 'VARIAS', 0, 1, '2006-05-18'</t>
  </si>
  <si>
    <t>, 'JOSE RAMON YEPEZ', 0, 1, '2</t>
  </si>
  <si>
    <t>, 'LA CONCEPCION', 0, 1, '2006</t>
  </si>
  <si>
    <t>, 'SAN JOSE', 0, 1, '2006-05-1</t>
  </si>
  <si>
    <t xml:space="preserve">, 'MARIANO PARRA LEON', 0, 1, </t>
  </si>
  <si>
    <t>, 'JESUS MARIA SEMPRUN', 0, 1,</t>
  </si>
  <si>
    <t>, 'ANDRES BELLO', 0, 1, '2006-</t>
  </si>
  <si>
    <t>, 'CONCEPCION', 0, 1, '2006-05</t>
  </si>
  <si>
    <t>, 'EL CARMELO', 0, 1, '2006-05</t>
  </si>
  <si>
    <t>, 'CHIQUINQUIRA', 0, 1, '2006-</t>
  </si>
  <si>
    <t>, 'PARROQUIAS VARIAS', 0, 1, '</t>
  </si>
  <si>
    <t>, 'EL BAJO', 0, 1, '2006-05-18</t>
  </si>
  <si>
    <t>, 'JOSÉ RAMÓN YÉPEZ', 0, 1, '2</t>
  </si>
  <si>
    <t>, 'LA CONCEPCIÓN', 0, 1, '2006</t>
  </si>
  <si>
    <t>, 'CARMELO', 0, 1, '2006-01-01</t>
  </si>
  <si>
    <t>, 'CONCEPCIÓN', 0, 1, '2006-01</t>
  </si>
  <si>
    <t>21, 'ALTAGRACIA', 0, 1, '2006-</t>
  </si>
  <si>
    <t>15, 'VARIAS', 0, 1, '2006-05-1</t>
  </si>
  <si>
    <t>20, 'SANTA RITA', 0, 1, '2006-</t>
  </si>
  <si>
    <t>21, 'SAN ANTONIO', 0, 1, '2006</t>
  </si>
  <si>
    <t>21, 'SAN JOSE', 0, 1, '2006-05</t>
  </si>
  <si>
    <t>20, 'EL MENE', 0, 1, '2006-05-</t>
  </si>
  <si>
    <t>20, 'PEDRO LUCAS URRIBARRI', 0</t>
  </si>
  <si>
    <t xml:space="preserve">20, 'JOSE CENOVIO URRIBARRI', </t>
  </si>
  <si>
    <t>21, 'VARIAS', 0, 1, '2006-05-1</t>
  </si>
  <si>
    <t>20, 'VARIOS', 0, 1, '2006-05-1</t>
  </si>
  <si>
    <t>21, 'FARÍA', 0, 1, '2006-05-18</t>
  </si>
  <si>
    <t xml:space="preserve">21, 'ANA MARIA CAMPOS', 0, 1, </t>
  </si>
  <si>
    <t>15, 'DESCONOCIDA', 0, NULL, NU</t>
  </si>
  <si>
    <t>21, 'DESCONOCIDA', 0, NULL, NU</t>
  </si>
  <si>
    <t>20, 'DESCONOCIDA', 0, NULL, NU</t>
  </si>
  <si>
    <t>13, 'ALONSO DE OJEDA', 0, 1, '</t>
  </si>
  <si>
    <t>13, 'ELEAZAR LÓPEZ CONTRERAS',</t>
  </si>
  <si>
    <t>13, 'VENEZUELA', 0, 1, '2006-0</t>
  </si>
  <si>
    <t>13, 'LIBERTAD', 0, 1, '2006-05</t>
  </si>
  <si>
    <t>13, 'CAMPO LARA', 0, 1, '2006-</t>
  </si>
  <si>
    <t>13, 'LAGUNILLAS', 0, 1, '2006-</t>
  </si>
  <si>
    <t>13, 'VARIOS', 0, 1, '2006-05-1</t>
  </si>
  <si>
    <t>19, 'MANUEL MANRIQUE', 0, 1, '</t>
  </si>
  <si>
    <t xml:space="preserve">19, 'RAFAEL MARIA BARALT', 0, </t>
  </si>
  <si>
    <t>19, 'RAFAEL URDANETA', 0, 1, '</t>
  </si>
  <si>
    <t>14, 'LA VICTORIA', 0, 1, '2006</t>
  </si>
  <si>
    <t>14, 'RAUL CUENCA', 0, 1, '2006</t>
  </si>
  <si>
    <t>14, 'VARIAS', 0, 1, '2006-05-1</t>
  </si>
  <si>
    <t>14, 'RAFAEL URDANETA', 0, 1, '</t>
  </si>
  <si>
    <t>14, 'VARIOS', 0, 1, '2006-05-1</t>
  </si>
  <si>
    <t>13, 'DESCONOCIDA', 0, 1, '2006</t>
  </si>
  <si>
    <t>18, 'LIBERTADOR', 0, 1, '2006-</t>
  </si>
  <si>
    <t>18, 'DESCONOCIDA', 0, 1, '2006</t>
  </si>
  <si>
    <t>18, 'MANUEL GUANIPA MATOS', 0,</t>
  </si>
  <si>
    <t>18, 'PUEBLO NUEVO', 0, 1, '200</t>
  </si>
  <si>
    <t>18, 'MARCELINO BRICEÑO', 0, 1,</t>
  </si>
  <si>
    <t>18, 'SAN TIMOTEO', 0, 1, '2006</t>
  </si>
  <si>
    <t>18, 'GENERAL RAFAEL URDANETA',</t>
  </si>
  <si>
    <t>18, 'MENE GRANDE', 0, 1, '2006</t>
  </si>
  <si>
    <t>18, 'VARIAS', 0, 1, '2006-05-1</t>
  </si>
  <si>
    <t>18, 'PUEBLO NUEVO Y LIBERTADOR</t>
  </si>
  <si>
    <t>14, 'DESCONOCIDA', 0, 1, '2006</t>
  </si>
  <si>
    <t>19, 'DESCONOCIDA', 0, 1, '2006</t>
  </si>
  <si>
    <t>4, 'ISLA DE TOAS', 0, 1, '2006</t>
  </si>
  <si>
    <t>16, 'ENCONTRADOS', 0, 1, '2006</t>
  </si>
  <si>
    <t>3, 'LAS PARCELAS', 0, 1, '2006</t>
  </si>
  <si>
    <t>3, 'LUIS DE VICENTE', 0, 1, '2</t>
  </si>
  <si>
    <t>3, 'LA SIERRITA', 0, 1, '2006-</t>
  </si>
  <si>
    <t>3, 'RICAURTE', 0, 1, '2006-08-</t>
  </si>
  <si>
    <t xml:space="preserve">3, 'SAN RAFAEL DEL MOJAN', 0, </t>
  </si>
  <si>
    <t>3, 'VARIAS', 0, 1, '2006-08-09</t>
  </si>
  <si>
    <t>2, 'GUAJIRA', 0, 1, '2006-08-0</t>
  </si>
  <si>
    <t>2, 'ALTA GUAJIRA', 0, 1, '2006</t>
  </si>
  <si>
    <t>8, 'BOBURES', 0, 1, '2006-08-0</t>
  </si>
  <si>
    <t>4, 'MONAGAS', 0, 1, '2006-08-0</t>
  </si>
  <si>
    <t>3, 'MARCOS SERGIO GODOY', 0, 1</t>
  </si>
  <si>
    <t>2, 'SINAMAICA', 0, 1, '2006-08</t>
  </si>
  <si>
    <t>2, 'ELIAS SANCHEZ RUBIO', 0, 1</t>
  </si>
  <si>
    <t>8, 'ROMULO GALLEGOS', 0, 1, '2</t>
  </si>
  <si>
    <t>8, 'EL BATEY', 0, 1, '2006-08-</t>
  </si>
  <si>
    <t>8, 'VARIAS', 0, 1, '2006-08-09</t>
  </si>
  <si>
    <t>16, 'UDON PEREZ', 0, 1, '2006-</t>
  </si>
  <si>
    <t>16, 'VARIAS', 0, 1, '2006-08-0</t>
  </si>
  <si>
    <t>3, 'TAMARE', 0, 1, '2006-08-09</t>
  </si>
  <si>
    <t xml:space="preserve">8, 'MONSEÑOR ARTURO CELESTINO </t>
  </si>
  <si>
    <t>8, 'HERAS', 0, 1, '2006-08-09'</t>
  </si>
  <si>
    <t>8, 'GIBRALTAR', 0, 1, '2006-08</t>
  </si>
  <si>
    <t>8, 'SANTA MARIA', 0, 1, '2006-</t>
  </si>
  <si>
    <t>4, 'LIBERTADOR', 0, 1, '2006-0</t>
  </si>
  <si>
    <t>3, 'SAN RAFAEL', 0, 1, '2006-0</t>
  </si>
  <si>
    <t>3, 'SECTORES VARIOS', 0, 1, '2</t>
  </si>
  <si>
    <t>2, 'VARIOS', 0, 1, '2006-08-09</t>
  </si>
  <si>
    <t>17, 'SANTA BARBARA', 0, 1, '20</t>
  </si>
  <si>
    <t>17, 'URRIBARRI', 0, 1, '2006-0</t>
  </si>
  <si>
    <t>17, 'SAN CARLOS DEL ZULIA', 0,</t>
  </si>
  <si>
    <t>17, 'MORALITO', 0, 1, '2006-08</t>
  </si>
  <si>
    <t>17, 'SANTA CRUZ DEL ZULIA', 0,</t>
  </si>
  <si>
    <t>17, 'VARIAS', 0, 1, '2006-08-0</t>
  </si>
  <si>
    <t>12, 'CARLOS QUEVEDO', 0, 1, '2</t>
  </si>
  <si>
    <t>12, 'FRANCISCO JAVIER PULGAR',</t>
  </si>
  <si>
    <t>12, 'SIMON RODRIGUEZ', 0, 1, '</t>
  </si>
  <si>
    <t>12, 'VARIAS', 0, 1, '2006-08-0</t>
  </si>
  <si>
    <t>12, 'BARI', 0, 1, '2006-08-09'</t>
  </si>
  <si>
    <t>11, 'LIBERTAD', 0, 1, '2006-08</t>
  </si>
  <si>
    <t>11, 'SAN JOSE DE PERIJA', 0, 1</t>
  </si>
  <si>
    <t>11, 'RIO NEGRO', 0, 1, '2006-0</t>
  </si>
  <si>
    <t xml:space="preserve">11, 'BARTOLOME DE LAS CASAS', </t>
  </si>
  <si>
    <t>11, 'VARIAS', 0, 1, '2006-08-0</t>
  </si>
  <si>
    <t>11, 'MACHIQUES', 0, 1, '2006-0</t>
  </si>
  <si>
    <t>9, 'DONALDO GARCIA', 0, 1, '20</t>
  </si>
  <si>
    <t>9, 'EL ROSARIO', 0, 1, '2006-0</t>
  </si>
  <si>
    <t>9, 'BARRANQUITA', 0, 1, '2006-</t>
  </si>
  <si>
    <t>9, 'VARIOS', 0, 1, '2006-08-09</t>
  </si>
  <si>
    <t xml:space="preserve">10, 'JESUS MARIA SEMPRUN', 0, </t>
  </si>
  <si>
    <t>10, 'BARI', 0, 1, '2006-08-09'</t>
  </si>
  <si>
    <t>10, 'VIA ALTERNA A CASIGUA', 0</t>
  </si>
  <si>
    <t>10, 'CASIGUA EL CUBO', 0, 1, '</t>
  </si>
  <si>
    <t>10, 'VARIAS', 0, 1, '2006-08-1</t>
  </si>
  <si>
    <t>, 'DOMITILA FLORES', 64, 1, '2</t>
  </si>
  <si>
    <t>, 'SAN FRANCISCO', 62, 1, '200</t>
  </si>
  <si>
    <t>, 'FRANCISCO OCHOA', 63, 1, '2</t>
  </si>
  <si>
    <t>, 'EL BAJO', 61, 1, '2006-05-1</t>
  </si>
  <si>
    <t>, 'LOS CORTIJOS', 65, 1, '2006</t>
  </si>
  <si>
    <t xml:space="preserve">, 'MARCIAL HERNANDEZ', 66, 1, </t>
  </si>
  <si>
    <t>25, 'VARIAS', 0, 1, '2006-08-0</t>
  </si>
  <si>
    <t>17, 'DESCONOCIDA', 0, 1, '2006</t>
  </si>
  <si>
    <t>12, 'DESCONOCIDA', 0, 1, '2006</t>
  </si>
  <si>
    <t>2, 'DESCONOCIDA', 0, 1, '2006-</t>
  </si>
  <si>
    <t>3, 'DESCONOCIDA', 0, 1, '2006-</t>
  </si>
  <si>
    <t>4, 'DESCONOCIDA', 0, 1, '2006-</t>
  </si>
  <si>
    <t>8, 'DESCONOCIDA', 0, 1, '2006-</t>
  </si>
  <si>
    <t>9, 'DESCONOCIDA', 0, 1, '2006-</t>
  </si>
  <si>
    <t>10, 'DESCONOCIDA', 0, 1, '2006</t>
  </si>
  <si>
    <t>11, 'DESCONOCIDA', 0, 1, '2006</t>
  </si>
  <si>
    <t>16, 'DESCONOCIDA', 0, 1, '2006</t>
  </si>
  <si>
    <t>9, 'SIXTO ZAMBRANO', 0, 1, '20</t>
  </si>
  <si>
    <t xml:space="preserve">9, 'LA VILLA DEL ROSARIO', 0, </t>
  </si>
  <si>
    <t>5, 'AMBROSIO', 118, 1, '2006-0</t>
  </si>
  <si>
    <t xml:space="preserve">5, 'JORGE HERNANDEZ', 119, 1, </t>
  </si>
  <si>
    <t>5, 'GERMAN RIOS LINARES', 120,</t>
  </si>
  <si>
    <t>5, 'CARMEN HERRERA', 121, 1, '</t>
  </si>
  <si>
    <t>5, 'ARISTIDES CALVANI', 122, 1</t>
  </si>
  <si>
    <t>15, 'LA ROSA', 123, 1, '2006-0</t>
  </si>
  <si>
    <t>15, 'SAN BENITO', 124, 1, '200</t>
  </si>
  <si>
    <t xml:space="preserve">15, 'ROMULO BETANCOURT', 125, </t>
  </si>
  <si>
    <t>15, 'PUNTA GORDA', 126, 1, '20</t>
  </si>
  <si>
    <t>CRISTO DE ARANZA</t>
  </si>
  <si>
    <t>ANTONIO BORJAS ROMERO</t>
  </si>
  <si>
    <t>VENANCIO PULGAR</t>
  </si>
  <si>
    <t>CECILIO ACOSTA</t>
  </si>
  <si>
    <t>MANUEL DAGNINO</t>
  </si>
  <si>
    <t>JUANA DE AVILA</t>
  </si>
  <si>
    <t>RAUL LEONI</t>
  </si>
  <si>
    <t>FRANCISCO EUGENIO BUSTAMANTE</t>
  </si>
  <si>
    <t>LUIS HURTADO HIGUERA</t>
  </si>
  <si>
    <t>ALTAGRACIA</t>
  </si>
  <si>
    <t>PUEBLO NUEVO Y LIBERTADOR</t>
  </si>
  <si>
    <t>ISLA DE TOAS</t>
  </si>
  <si>
    <t>LAS PARCELAS</t>
  </si>
  <si>
    <t>LUIS DE VICENTE</t>
  </si>
  <si>
    <t>LA SIERRITA</t>
  </si>
  <si>
    <t>RICAURTE</t>
  </si>
  <si>
    <t>SAN RAFAEL DEL MOJAN</t>
  </si>
  <si>
    <t>VARIAS</t>
  </si>
  <si>
    <t>GUAJIRA</t>
  </si>
  <si>
    <t>ALTA GUAJIRA</t>
  </si>
  <si>
    <t>BOBURES</t>
  </si>
  <si>
    <t>MONAGAS</t>
  </si>
  <si>
    <t>MARCOS SERGIO GODOY</t>
  </si>
  <si>
    <t>SINAMAICA</t>
  </si>
  <si>
    <t>ELIAS SANCHEZ RUBIO</t>
  </si>
  <si>
    <t>ROMULO GALLEGOS</t>
  </si>
  <si>
    <t>EL BATEY</t>
  </si>
  <si>
    <t>TAMARE</t>
  </si>
  <si>
    <t xml:space="preserve">MONSEÑOR ARTURO CELESTINO </t>
  </si>
  <si>
    <t>HERAS</t>
  </si>
  <si>
    <t>GIBRALTAR</t>
  </si>
  <si>
    <t>SANTA MARIA</t>
  </si>
  <si>
    <t>LIBERTADOR</t>
  </si>
  <si>
    <t>SAN RAFAEL</t>
  </si>
  <si>
    <t>SECTORES VARIOS</t>
  </si>
  <si>
    <t>VARIOS</t>
  </si>
  <si>
    <t>DONALDO GARCIA</t>
  </si>
  <si>
    <t>EL ROSARIO</t>
  </si>
  <si>
    <t>BARRANQUITA</t>
  </si>
  <si>
    <t>DESCONOCIDA</t>
  </si>
  <si>
    <t>SIXTO ZAMBRANO</t>
  </si>
  <si>
    <t>LA VILLA DEL ROSARIO</t>
  </si>
  <si>
    <t>AMBROSIO</t>
  </si>
  <si>
    <t>JORGE HERNANDEZ</t>
  </si>
  <si>
    <t>GERMAN RIOS LINARES</t>
  </si>
  <si>
    <t>CARMEN HERRERA</t>
  </si>
  <si>
    <t>ARISTIDES CALVANI</t>
  </si>
  <si>
    <t>CACIQUE MARA</t>
  </si>
  <si>
    <t>IDELFONSO VASQUEZ</t>
  </si>
  <si>
    <t>COQUIVACOA</t>
  </si>
  <si>
    <t>OLEGARIO VILLALOBOS</t>
  </si>
  <si>
    <t>SAN ISIDRO</t>
  </si>
  <si>
    <t>SANTA LUCIA</t>
  </si>
  <si>
    <t>CHIQUINQUIRA</t>
  </si>
  <si>
    <t>BOLIVAR</t>
  </si>
  <si>
    <t>CARRACCIOLO PARRA PEREZ</t>
  </si>
  <si>
    <t>JOSE RAMON YEPEZ</t>
  </si>
  <si>
    <t>LA CONCEPCION</t>
  </si>
  <si>
    <t>SAN JOSE</t>
  </si>
  <si>
    <t>MARIANO PARRA LEON</t>
  </si>
  <si>
    <t>JESUS MARIA SEMPRUN</t>
  </si>
  <si>
    <t>ANDRES BELLO</t>
  </si>
  <si>
    <t>CONCEPCION</t>
  </si>
  <si>
    <t>EL CARMELO</t>
  </si>
  <si>
    <t>PARROQUIAS VARIAS</t>
  </si>
  <si>
    <t>EL BAJO</t>
  </si>
  <si>
    <t>JOSÉ RAMÓN YÉPEZ</t>
  </si>
  <si>
    <t>LA CONCEPCIÓN</t>
  </si>
  <si>
    <t>CARMELO</t>
  </si>
  <si>
    <t>CONCEPCIÓN</t>
  </si>
  <si>
    <t>SANTA RITA</t>
  </si>
  <si>
    <t>SAN ANTONIO</t>
  </si>
  <si>
    <t>EL MENE</t>
  </si>
  <si>
    <t>PEDRO LUCAS URRIBARRI</t>
  </si>
  <si>
    <t>JOSE CENOVIO URRIBARRI</t>
  </si>
  <si>
    <t>FARÍA</t>
  </si>
  <si>
    <t>ANA MARIA CAMPOS</t>
  </si>
  <si>
    <t>ALONSO DE OJEDA</t>
  </si>
  <si>
    <t>ELEAZAR LÓPEZ CONTRERAS</t>
  </si>
  <si>
    <t>VENEZUELA</t>
  </si>
  <si>
    <t>LIBERTAD</t>
  </si>
  <si>
    <t>CAMPO LARA</t>
  </si>
  <si>
    <t>LAGUNILLAS</t>
  </si>
  <si>
    <t>MANUEL MANRIQUE</t>
  </si>
  <si>
    <t>RAFAEL MARIA BARALT</t>
  </si>
  <si>
    <t>RAFAEL URDANETA</t>
  </si>
  <si>
    <t>LA VICTORIA</t>
  </si>
  <si>
    <t>RAUL CUENCA</t>
  </si>
  <si>
    <t>MANUEL GUANIPA MATOS</t>
  </si>
  <si>
    <t>PUEBLO NUEVO</t>
  </si>
  <si>
    <t>MARCELINO BRICEÑO</t>
  </si>
  <si>
    <t>SAN TIMOTEO</t>
  </si>
  <si>
    <t>GENERAL RAFAEL URDANETA</t>
  </si>
  <si>
    <t>MENE GRANDE</t>
  </si>
  <si>
    <t>ENCONTRADOS</t>
  </si>
  <si>
    <t>UDON PEREZ</t>
  </si>
  <si>
    <t>SANTA BARBARA</t>
  </si>
  <si>
    <t>URRIBARRI</t>
  </si>
  <si>
    <t>SAN CARLOS DEL ZULIA</t>
  </si>
  <si>
    <t>MORALITO</t>
  </si>
  <si>
    <t>SANTA CRUZ DEL ZULIA</t>
  </si>
  <si>
    <t>CARLOS QUEVEDO</t>
  </si>
  <si>
    <t>FRANCISCO JAVIER PULGAR</t>
  </si>
  <si>
    <t>SIMON RODRIGUEZ</t>
  </si>
  <si>
    <t>BARI</t>
  </si>
  <si>
    <t>SAN JOSE DE PERIJA</t>
  </si>
  <si>
    <t>RIO NEGRO</t>
  </si>
  <si>
    <t>BARTOLOME DE LAS CASAS</t>
  </si>
  <si>
    <t>MACHIQUES</t>
  </si>
  <si>
    <t>VIA ALTERNA A CASIGUA</t>
  </si>
  <si>
    <t>CASIGUA EL CUBO</t>
  </si>
  <si>
    <t>DOMITILA FLORES</t>
  </si>
  <si>
    <t>SAN FRANCISCO</t>
  </si>
  <si>
    <t>FRANCISCO OCHOA</t>
  </si>
  <si>
    <t>LOS CORTIJOS</t>
  </si>
  <si>
    <t>MARCIAL HERNANDEZ</t>
  </si>
  <si>
    <t>LA ROSA</t>
  </si>
  <si>
    <t>SAN BENITO</t>
  </si>
  <si>
    <t>ROMULO BETANCOURT</t>
  </si>
  <si>
    <t>PUNTA GORDA</t>
  </si>
  <si>
    <t>cn_id_municipio</t>
  </si>
  <si>
    <t>cc_nombre_parroquia</t>
  </si>
  <si>
    <t>cl_status_parroquia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</si>
</sst>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"/>
  <sheetViews>
    <sheetView topLeftCell="B139" zoomScale="80" zoomScaleNormal="80" workbookViewId="0">
      <selection activeCell="G1" sqref="G1:G166"/>
    </sheetView>
  </sheetViews>
  <sheetFormatPr baseColWidth="10" defaultRowHeight="15"/>
  <cols>
    <col min="1" max="1" width="165.140625" bestFit="1" customWidth="1"/>
    <col min="2" max="2" width="35.7109375" bestFit="1" customWidth="1"/>
    <col min="3" max="4" width="10.7109375" customWidth="1"/>
    <col min="5" max="5" width="15.140625" customWidth="1"/>
    <col min="6" max="7" width="34.5703125" bestFit="1" customWidth="1"/>
  </cols>
  <sheetData>
    <row r="1" spans="1:7">
      <c r="A1" t="s">
        <v>0</v>
      </c>
      <c r="B1" t="s">
        <v>166</v>
      </c>
      <c r="C1">
        <v>1</v>
      </c>
      <c r="D1">
        <f>+FINDB("'",B1)</f>
        <v>2</v>
      </c>
      <c r="E1">
        <f>+FIND("'",B1,7)</f>
        <v>19</v>
      </c>
      <c r="F1" t="str">
        <f>+MID(B1,D1+1,E1-3)</f>
        <v>CRISTO DE ARANZA</v>
      </c>
      <c r="G1" t="s">
        <v>328</v>
      </c>
    </row>
    <row r="2" spans="1:7">
      <c r="A2" t="s">
        <v>1</v>
      </c>
      <c r="B2" t="s">
        <v>167</v>
      </c>
      <c r="C2">
        <v>1</v>
      </c>
      <c r="D2">
        <f t="shared" ref="D2:D65" si="0">+FINDB("'",B2)</f>
        <v>2</v>
      </c>
      <c r="E2">
        <f t="shared" ref="E2:E65" si="1">+FIND("'",B2,7)</f>
        <v>24</v>
      </c>
      <c r="F2" t="str">
        <f t="shared" ref="F2:F40" si="2">+MID(B2,D2+1,E2-3)</f>
        <v>ANTONIO BORJAS ROMERO</v>
      </c>
      <c r="G2" t="s">
        <v>329</v>
      </c>
    </row>
    <row r="3" spans="1:7">
      <c r="A3" t="s">
        <v>2</v>
      </c>
      <c r="B3" t="s">
        <v>168</v>
      </c>
      <c r="C3">
        <v>1</v>
      </c>
      <c r="D3">
        <f t="shared" si="0"/>
        <v>2</v>
      </c>
      <c r="E3">
        <f t="shared" si="1"/>
        <v>18</v>
      </c>
      <c r="F3" t="str">
        <f t="shared" si="2"/>
        <v>VENANCIO PULGAR</v>
      </c>
      <c r="G3" t="s">
        <v>330</v>
      </c>
    </row>
    <row r="4" spans="1:7">
      <c r="A4" t="s">
        <v>3</v>
      </c>
      <c r="B4" t="s">
        <v>169</v>
      </c>
      <c r="C4">
        <v>1</v>
      </c>
      <c r="D4">
        <f t="shared" si="0"/>
        <v>2</v>
      </c>
      <c r="E4">
        <f t="shared" si="1"/>
        <v>17</v>
      </c>
      <c r="F4" t="str">
        <f t="shared" si="2"/>
        <v>CECILIO ACOSTA</v>
      </c>
      <c r="G4" t="s">
        <v>331</v>
      </c>
    </row>
    <row r="5" spans="1:7">
      <c r="A5" t="s">
        <v>4</v>
      </c>
      <c r="B5" t="s">
        <v>170</v>
      </c>
      <c r="C5">
        <v>1</v>
      </c>
      <c r="D5">
        <f t="shared" si="0"/>
        <v>2</v>
      </c>
      <c r="E5">
        <f t="shared" si="1"/>
        <v>17</v>
      </c>
      <c r="F5" t="str">
        <f t="shared" si="2"/>
        <v>MANUEL DAGNINO</v>
      </c>
      <c r="G5" t="s">
        <v>332</v>
      </c>
    </row>
    <row r="6" spans="1:7">
      <c r="A6" t="s">
        <v>5</v>
      </c>
      <c r="B6" t="s">
        <v>171</v>
      </c>
      <c r="C6">
        <v>1</v>
      </c>
      <c r="D6">
        <f t="shared" si="0"/>
        <v>3</v>
      </c>
      <c r="E6">
        <f t="shared" si="1"/>
        <v>16</v>
      </c>
      <c r="F6" t="str">
        <f t="shared" si="2"/>
        <v>CACIQUE MARA'</v>
      </c>
      <c r="G6" t="s">
        <v>375</v>
      </c>
    </row>
    <row r="7" spans="1:7">
      <c r="A7" t="s">
        <v>6</v>
      </c>
      <c r="B7" t="s">
        <v>172</v>
      </c>
      <c r="C7">
        <v>1</v>
      </c>
      <c r="D7">
        <f t="shared" si="0"/>
        <v>3</v>
      </c>
      <c r="E7">
        <f t="shared" si="1"/>
        <v>21</v>
      </c>
      <c r="F7" t="str">
        <f t="shared" si="2"/>
        <v>IDELFONSO VASQUEZ'</v>
      </c>
      <c r="G7" t="s">
        <v>376</v>
      </c>
    </row>
    <row r="8" spans="1:7">
      <c r="A8" t="s">
        <v>7</v>
      </c>
      <c r="B8" t="s">
        <v>173</v>
      </c>
      <c r="C8">
        <v>1</v>
      </c>
      <c r="D8">
        <f t="shared" si="0"/>
        <v>3</v>
      </c>
      <c r="E8">
        <f t="shared" si="1"/>
        <v>14</v>
      </c>
      <c r="F8" t="str">
        <f t="shared" si="2"/>
        <v>COQUIVACOA'</v>
      </c>
      <c r="G8" t="s">
        <v>377</v>
      </c>
    </row>
    <row r="9" spans="1:7">
      <c r="A9" t="s">
        <v>8</v>
      </c>
      <c r="B9" t="s">
        <v>174</v>
      </c>
      <c r="C9">
        <v>1</v>
      </c>
      <c r="D9">
        <f t="shared" si="0"/>
        <v>3</v>
      </c>
      <c r="E9">
        <f t="shared" si="1"/>
        <v>23</v>
      </c>
      <c r="F9" t="str">
        <f t="shared" si="2"/>
        <v>OLEGARIO VILLALOBOS'</v>
      </c>
      <c r="G9" t="s">
        <v>378</v>
      </c>
    </row>
    <row r="10" spans="1:7">
      <c r="A10" t="s">
        <v>9</v>
      </c>
      <c r="B10" t="s">
        <v>175</v>
      </c>
      <c r="C10">
        <v>1</v>
      </c>
      <c r="D10">
        <f t="shared" si="0"/>
        <v>3</v>
      </c>
      <c r="E10">
        <f t="shared" si="1"/>
        <v>14</v>
      </c>
      <c r="F10" t="str">
        <f t="shared" si="2"/>
        <v>SAN ISIDRO'</v>
      </c>
      <c r="G10" t="s">
        <v>379</v>
      </c>
    </row>
    <row r="11" spans="1:7">
      <c r="A11" t="s">
        <v>10</v>
      </c>
      <c r="B11" t="s">
        <v>176</v>
      </c>
      <c r="C11">
        <v>1</v>
      </c>
      <c r="D11">
        <f t="shared" si="0"/>
        <v>3</v>
      </c>
      <c r="E11">
        <f t="shared" si="1"/>
        <v>15</v>
      </c>
      <c r="F11" t="str">
        <f t="shared" si="2"/>
        <v>SANTA LUCIA'</v>
      </c>
      <c r="G11" t="s">
        <v>380</v>
      </c>
    </row>
    <row r="12" spans="1:7">
      <c r="A12" t="s">
        <v>11</v>
      </c>
      <c r="B12" t="s">
        <v>177</v>
      </c>
      <c r="C12">
        <v>1</v>
      </c>
      <c r="D12">
        <f t="shared" si="0"/>
        <v>3</v>
      </c>
      <c r="E12">
        <f t="shared" si="1"/>
        <v>16</v>
      </c>
      <c r="F12" t="str">
        <f t="shared" si="2"/>
        <v>CHIQUINQUIRA'</v>
      </c>
      <c r="G12" t="s">
        <v>381</v>
      </c>
    </row>
    <row r="13" spans="1:7">
      <c r="A13" t="s">
        <v>12</v>
      </c>
      <c r="B13" t="s">
        <v>178</v>
      </c>
      <c r="C13">
        <v>1</v>
      </c>
      <c r="D13">
        <f t="shared" si="0"/>
        <v>2</v>
      </c>
      <c r="E13">
        <f t="shared" si="1"/>
        <v>17</v>
      </c>
      <c r="F13" t="str">
        <f t="shared" si="2"/>
        <v>JUANA DE AVILA</v>
      </c>
      <c r="G13" t="s">
        <v>333</v>
      </c>
    </row>
    <row r="14" spans="1:7">
      <c r="A14" t="s">
        <v>13</v>
      </c>
      <c r="B14" t="s">
        <v>179</v>
      </c>
      <c r="C14">
        <v>1</v>
      </c>
      <c r="D14">
        <f t="shared" si="0"/>
        <v>2</v>
      </c>
      <c r="E14">
        <f t="shared" si="1"/>
        <v>13</v>
      </c>
      <c r="F14" t="str">
        <f t="shared" si="2"/>
        <v>RAUL LEONI</v>
      </c>
      <c r="G14" t="s">
        <v>334</v>
      </c>
    </row>
    <row r="15" spans="1:7">
      <c r="A15" t="s">
        <v>14</v>
      </c>
      <c r="B15" t="s">
        <v>180</v>
      </c>
      <c r="C15">
        <v>1</v>
      </c>
      <c r="D15">
        <f t="shared" si="0"/>
        <v>3</v>
      </c>
      <c r="E15">
        <f t="shared" si="1"/>
        <v>11</v>
      </c>
      <c r="F15" t="str">
        <f t="shared" si="2"/>
        <v>BOLIVAR'</v>
      </c>
      <c r="G15" t="s">
        <v>382</v>
      </c>
    </row>
    <row r="16" spans="1:7">
      <c r="A16" t="s">
        <v>15</v>
      </c>
      <c r="B16" t="s">
        <v>181</v>
      </c>
      <c r="C16">
        <v>1</v>
      </c>
      <c r="D16">
        <f t="shared" si="0"/>
        <v>2</v>
      </c>
      <c r="E16" t="e">
        <f t="shared" si="1"/>
        <v>#VALUE!</v>
      </c>
      <c r="F16" t="str">
        <f>+MID(B16,D16+1,30)</f>
        <v>FRANCISCO EUGENIO BUSTAMANTE</v>
      </c>
      <c r="G16" t="s">
        <v>335</v>
      </c>
    </row>
    <row r="17" spans="1:7">
      <c r="A17" t="s">
        <v>16</v>
      </c>
      <c r="B17" t="s">
        <v>182</v>
      </c>
      <c r="C17">
        <v>1</v>
      </c>
      <c r="D17">
        <f t="shared" si="0"/>
        <v>2</v>
      </c>
      <c r="E17">
        <f t="shared" si="1"/>
        <v>23</v>
      </c>
      <c r="F17" t="str">
        <f t="shared" si="2"/>
        <v>LUIS HURTADO HIGUERA</v>
      </c>
      <c r="G17" t="s">
        <v>336</v>
      </c>
    </row>
    <row r="18" spans="1:7">
      <c r="A18" t="s">
        <v>17</v>
      </c>
      <c r="B18" t="s">
        <v>183</v>
      </c>
      <c r="C18">
        <v>1</v>
      </c>
      <c r="D18">
        <f t="shared" si="0"/>
        <v>3</v>
      </c>
      <c r="E18">
        <f t="shared" si="1"/>
        <v>10</v>
      </c>
      <c r="F18" t="str">
        <f t="shared" si="2"/>
        <v>VARIAS'</v>
      </c>
      <c r="G18" t="s">
        <v>345</v>
      </c>
    </row>
    <row r="19" spans="1:7">
      <c r="A19" t="s">
        <v>18</v>
      </c>
      <c r="B19" t="s">
        <v>184</v>
      </c>
      <c r="C19">
        <v>1</v>
      </c>
      <c r="D19">
        <f t="shared" si="0"/>
        <v>3</v>
      </c>
      <c r="E19">
        <f t="shared" si="1"/>
        <v>15</v>
      </c>
      <c r="F19" t="str">
        <f t="shared" si="2"/>
        <v>DESCONOCIDA'</v>
      </c>
      <c r="G19" t="s">
        <v>367</v>
      </c>
    </row>
    <row r="20" spans="1:7">
      <c r="A20" t="s">
        <v>19</v>
      </c>
      <c r="B20" t="s">
        <v>185</v>
      </c>
      <c r="C20">
        <v>1</v>
      </c>
      <c r="D20">
        <f t="shared" si="0"/>
        <v>3</v>
      </c>
      <c r="E20">
        <f t="shared" si="1"/>
        <v>27</v>
      </c>
      <c r="F20" t="str">
        <f t="shared" si="2"/>
        <v>CARRACCIOLO PARRA PEREZ'</v>
      </c>
      <c r="G20" t="s">
        <v>383</v>
      </c>
    </row>
    <row r="21" spans="1:7">
      <c r="A21" t="s">
        <v>20</v>
      </c>
      <c r="B21" t="s">
        <v>186</v>
      </c>
      <c r="C21">
        <v>7</v>
      </c>
      <c r="D21">
        <f t="shared" si="0"/>
        <v>3</v>
      </c>
      <c r="E21">
        <f t="shared" si="1"/>
        <v>10</v>
      </c>
      <c r="F21" t="str">
        <f t="shared" si="2"/>
        <v>VARIAS'</v>
      </c>
      <c r="G21" t="s">
        <v>345</v>
      </c>
    </row>
    <row r="22" spans="1:7">
      <c r="A22" t="s">
        <v>21</v>
      </c>
      <c r="B22" t="s">
        <v>187</v>
      </c>
      <c r="C22">
        <v>5</v>
      </c>
      <c r="D22">
        <f t="shared" si="0"/>
        <v>3</v>
      </c>
      <c r="E22">
        <f t="shared" si="1"/>
        <v>20</v>
      </c>
      <c r="F22" t="str">
        <f t="shared" si="2"/>
        <v>JOSE RAMON YEPEZ'</v>
      </c>
      <c r="G22" t="s">
        <v>384</v>
      </c>
    </row>
    <row r="23" spans="1:7">
      <c r="A23" t="s">
        <v>22</v>
      </c>
      <c r="B23" t="s">
        <v>188</v>
      </c>
      <c r="C23">
        <v>5</v>
      </c>
      <c r="D23">
        <f t="shared" si="0"/>
        <v>3</v>
      </c>
      <c r="E23">
        <f t="shared" si="1"/>
        <v>17</v>
      </c>
      <c r="F23" t="str">
        <f t="shared" si="2"/>
        <v>LA CONCEPCION'</v>
      </c>
      <c r="G23" t="s">
        <v>385</v>
      </c>
    </row>
    <row r="24" spans="1:7">
      <c r="A24" t="s">
        <v>23</v>
      </c>
      <c r="B24" t="s">
        <v>189</v>
      </c>
      <c r="C24">
        <v>5</v>
      </c>
      <c r="D24">
        <f t="shared" si="0"/>
        <v>3</v>
      </c>
      <c r="E24">
        <f t="shared" si="1"/>
        <v>12</v>
      </c>
      <c r="F24" t="str">
        <f t="shared" si="2"/>
        <v>SAN JOSE'</v>
      </c>
      <c r="G24" t="s">
        <v>386</v>
      </c>
    </row>
    <row r="25" spans="1:7">
      <c r="A25" t="s">
        <v>24</v>
      </c>
      <c r="B25" t="s">
        <v>190</v>
      </c>
      <c r="C25">
        <v>5</v>
      </c>
      <c r="D25">
        <f t="shared" si="0"/>
        <v>3</v>
      </c>
      <c r="E25">
        <f t="shared" si="1"/>
        <v>22</v>
      </c>
      <c r="F25" t="str">
        <f t="shared" si="2"/>
        <v>MARIANO PARRA LEON'</v>
      </c>
      <c r="G25" t="s">
        <v>387</v>
      </c>
    </row>
    <row r="26" spans="1:7">
      <c r="A26" t="s">
        <v>25</v>
      </c>
      <c r="B26" t="s">
        <v>191</v>
      </c>
      <c r="C26">
        <v>5</v>
      </c>
      <c r="D26">
        <f t="shared" si="0"/>
        <v>3</v>
      </c>
      <c r="E26">
        <f t="shared" si="1"/>
        <v>23</v>
      </c>
      <c r="F26" t="str">
        <f t="shared" si="2"/>
        <v>JESUS MARIA SEMPRUN'</v>
      </c>
      <c r="G26" t="s">
        <v>388</v>
      </c>
    </row>
    <row r="27" spans="1:7">
      <c r="A27" t="s">
        <v>26</v>
      </c>
      <c r="B27" t="s">
        <v>192</v>
      </c>
      <c r="C27">
        <v>6</v>
      </c>
      <c r="D27">
        <f t="shared" si="0"/>
        <v>3</v>
      </c>
      <c r="E27">
        <f t="shared" si="1"/>
        <v>16</v>
      </c>
      <c r="F27" t="str">
        <f t="shared" si="2"/>
        <v>ANDRES BELLO'</v>
      </c>
      <c r="G27" t="s">
        <v>389</v>
      </c>
    </row>
    <row r="28" spans="1:7">
      <c r="A28" t="s">
        <v>27</v>
      </c>
      <c r="B28" t="s">
        <v>193</v>
      </c>
      <c r="C28">
        <v>6</v>
      </c>
      <c r="D28">
        <f t="shared" si="0"/>
        <v>3</v>
      </c>
      <c r="E28">
        <f t="shared" si="1"/>
        <v>14</v>
      </c>
      <c r="F28" t="str">
        <f t="shared" si="2"/>
        <v>CONCEPCION'</v>
      </c>
      <c r="G28" t="s">
        <v>390</v>
      </c>
    </row>
    <row r="29" spans="1:7">
      <c r="A29" t="s">
        <v>28</v>
      </c>
      <c r="B29" t="s">
        <v>194</v>
      </c>
      <c r="C29">
        <v>6</v>
      </c>
      <c r="D29">
        <f t="shared" si="0"/>
        <v>3</v>
      </c>
      <c r="E29">
        <f t="shared" si="1"/>
        <v>14</v>
      </c>
      <c r="F29" t="str">
        <f t="shared" si="2"/>
        <v>EL CARMELO'</v>
      </c>
      <c r="G29" t="s">
        <v>391</v>
      </c>
    </row>
    <row r="30" spans="1:7">
      <c r="A30" t="s">
        <v>29</v>
      </c>
      <c r="B30" t="s">
        <v>195</v>
      </c>
      <c r="C30">
        <v>6</v>
      </c>
      <c r="D30">
        <f t="shared" si="0"/>
        <v>3</v>
      </c>
      <c r="E30">
        <f t="shared" si="1"/>
        <v>16</v>
      </c>
      <c r="F30" t="str">
        <f t="shared" si="2"/>
        <v>CHIQUINQUIRA'</v>
      </c>
      <c r="G30" t="s">
        <v>381</v>
      </c>
    </row>
    <row r="31" spans="1:7">
      <c r="A31" t="s">
        <v>30</v>
      </c>
      <c r="B31" t="s">
        <v>196</v>
      </c>
      <c r="C31">
        <v>6</v>
      </c>
      <c r="D31">
        <f t="shared" si="0"/>
        <v>3</v>
      </c>
      <c r="E31">
        <f t="shared" si="1"/>
        <v>21</v>
      </c>
      <c r="F31" t="str">
        <f t="shared" si="2"/>
        <v>PARROQUIAS VARIAS'</v>
      </c>
      <c r="G31" t="s">
        <v>392</v>
      </c>
    </row>
    <row r="32" spans="1:7">
      <c r="A32" t="s">
        <v>31</v>
      </c>
      <c r="B32" t="s">
        <v>197</v>
      </c>
      <c r="C32">
        <v>6</v>
      </c>
      <c r="D32">
        <f t="shared" si="0"/>
        <v>3</v>
      </c>
      <c r="E32">
        <f t="shared" si="1"/>
        <v>11</v>
      </c>
      <c r="F32" t="str">
        <f t="shared" si="2"/>
        <v>EL BAJO'</v>
      </c>
      <c r="G32" t="s">
        <v>393</v>
      </c>
    </row>
    <row r="33" spans="1:7">
      <c r="A33" t="s">
        <v>32</v>
      </c>
      <c r="B33" t="s">
        <v>188</v>
      </c>
      <c r="C33">
        <v>6</v>
      </c>
      <c r="D33">
        <f t="shared" si="0"/>
        <v>3</v>
      </c>
      <c r="E33">
        <f t="shared" si="1"/>
        <v>17</v>
      </c>
      <c r="F33" t="str">
        <f t="shared" si="2"/>
        <v>LA CONCEPCION'</v>
      </c>
      <c r="G33" t="s">
        <v>385</v>
      </c>
    </row>
    <row r="34" spans="1:7">
      <c r="A34" t="s">
        <v>33</v>
      </c>
      <c r="B34" t="s">
        <v>184</v>
      </c>
      <c r="C34">
        <v>5</v>
      </c>
      <c r="D34">
        <f t="shared" si="0"/>
        <v>3</v>
      </c>
      <c r="E34">
        <f t="shared" si="1"/>
        <v>15</v>
      </c>
      <c r="F34" t="str">
        <f t="shared" si="2"/>
        <v>DESCONOCIDA'</v>
      </c>
      <c r="G34" t="s">
        <v>367</v>
      </c>
    </row>
    <row r="35" spans="1:7">
      <c r="A35" t="s">
        <v>34</v>
      </c>
      <c r="B35" t="s">
        <v>184</v>
      </c>
      <c r="C35">
        <v>6</v>
      </c>
      <c r="D35">
        <f t="shared" si="0"/>
        <v>3</v>
      </c>
      <c r="E35">
        <f t="shared" si="1"/>
        <v>15</v>
      </c>
      <c r="F35" t="str">
        <f t="shared" si="2"/>
        <v>DESCONOCIDA'</v>
      </c>
      <c r="G35" t="s">
        <v>367</v>
      </c>
    </row>
    <row r="36" spans="1:7">
      <c r="A36" t="s">
        <v>35</v>
      </c>
      <c r="B36" t="s">
        <v>198</v>
      </c>
      <c r="C36">
        <v>5</v>
      </c>
      <c r="D36">
        <f t="shared" si="0"/>
        <v>3</v>
      </c>
      <c r="E36">
        <f t="shared" si="1"/>
        <v>20</v>
      </c>
      <c r="F36" t="str">
        <f t="shared" si="2"/>
        <v>JOSÉ RAMÓN YÉPEZ'</v>
      </c>
      <c r="G36" t="s">
        <v>394</v>
      </c>
    </row>
    <row r="37" spans="1:7">
      <c r="A37" t="s">
        <v>36</v>
      </c>
      <c r="B37" t="s">
        <v>199</v>
      </c>
      <c r="C37">
        <v>5</v>
      </c>
      <c r="D37">
        <f t="shared" si="0"/>
        <v>3</v>
      </c>
      <c r="E37">
        <f t="shared" si="1"/>
        <v>17</v>
      </c>
      <c r="F37" t="str">
        <f t="shared" si="2"/>
        <v>LA CONCEPCIÓN'</v>
      </c>
      <c r="G37" t="s">
        <v>395</v>
      </c>
    </row>
    <row r="38" spans="1:7">
      <c r="A38" t="s">
        <v>37</v>
      </c>
      <c r="B38" t="s">
        <v>184</v>
      </c>
      <c r="C38">
        <v>7</v>
      </c>
      <c r="D38">
        <f t="shared" si="0"/>
        <v>3</v>
      </c>
      <c r="E38">
        <f t="shared" si="1"/>
        <v>15</v>
      </c>
      <c r="F38" t="str">
        <f t="shared" si="2"/>
        <v>DESCONOCIDA'</v>
      </c>
      <c r="G38" t="s">
        <v>367</v>
      </c>
    </row>
    <row r="39" spans="1:7">
      <c r="A39" t="s">
        <v>38</v>
      </c>
      <c r="B39" t="s">
        <v>200</v>
      </c>
      <c r="C39">
        <v>6</v>
      </c>
      <c r="D39">
        <f t="shared" si="0"/>
        <v>3</v>
      </c>
      <c r="E39">
        <f t="shared" si="1"/>
        <v>11</v>
      </c>
      <c r="F39" t="str">
        <f t="shared" si="2"/>
        <v>CARMELO'</v>
      </c>
      <c r="G39" t="s">
        <v>396</v>
      </c>
    </row>
    <row r="40" spans="1:7">
      <c r="A40" t="s">
        <v>39</v>
      </c>
      <c r="B40" t="s">
        <v>201</v>
      </c>
      <c r="C40">
        <v>6</v>
      </c>
      <c r="D40">
        <f t="shared" si="0"/>
        <v>3</v>
      </c>
      <c r="E40">
        <f t="shared" si="1"/>
        <v>14</v>
      </c>
      <c r="F40" t="str">
        <f t="shared" si="2"/>
        <v>CONCEPCIÓN'</v>
      </c>
      <c r="G40" t="s">
        <v>397</v>
      </c>
    </row>
    <row r="41" spans="1:7">
      <c r="A41" t="s">
        <v>40</v>
      </c>
      <c r="B41" t="s">
        <v>202</v>
      </c>
      <c r="C41">
        <v>21</v>
      </c>
      <c r="D41">
        <f t="shared" si="0"/>
        <v>5</v>
      </c>
      <c r="E41">
        <f t="shared" si="1"/>
        <v>16</v>
      </c>
      <c r="F41" t="str">
        <f>+MID(B41,D41+1,10)</f>
        <v>ALTAGRACIA</v>
      </c>
      <c r="G41" t="s">
        <v>337</v>
      </c>
    </row>
    <row r="42" spans="1:7">
      <c r="A42" t="s">
        <v>41</v>
      </c>
      <c r="B42" t="s">
        <v>203</v>
      </c>
      <c r="C42">
        <v>15</v>
      </c>
      <c r="D42">
        <f t="shared" si="0"/>
        <v>5</v>
      </c>
      <c r="E42">
        <f t="shared" si="1"/>
        <v>12</v>
      </c>
      <c r="F42" t="str">
        <f t="shared" ref="F42:F80" si="3">+MID(B42,D42+1,E42-5)</f>
        <v>VARIAS'</v>
      </c>
      <c r="G42" t="s">
        <v>345</v>
      </c>
    </row>
    <row r="43" spans="1:7">
      <c r="A43" t="s">
        <v>42</v>
      </c>
      <c r="B43" t="s">
        <v>204</v>
      </c>
      <c r="C43">
        <v>20</v>
      </c>
      <c r="D43">
        <f t="shared" si="0"/>
        <v>5</v>
      </c>
      <c r="E43">
        <f t="shared" si="1"/>
        <v>16</v>
      </c>
      <c r="F43" t="str">
        <f t="shared" si="3"/>
        <v>SANTA RITA'</v>
      </c>
      <c r="G43" t="s">
        <v>398</v>
      </c>
    </row>
    <row r="44" spans="1:7">
      <c r="A44" t="s">
        <v>43</v>
      </c>
      <c r="B44" t="s">
        <v>205</v>
      </c>
      <c r="C44">
        <v>21</v>
      </c>
      <c r="D44">
        <f t="shared" si="0"/>
        <v>5</v>
      </c>
      <c r="E44">
        <f t="shared" si="1"/>
        <v>17</v>
      </c>
      <c r="F44" t="str">
        <f t="shared" si="3"/>
        <v>SAN ANTONIO'</v>
      </c>
      <c r="G44" t="s">
        <v>399</v>
      </c>
    </row>
    <row r="45" spans="1:7">
      <c r="A45" t="s">
        <v>44</v>
      </c>
      <c r="B45" t="s">
        <v>206</v>
      </c>
      <c r="C45">
        <v>21</v>
      </c>
      <c r="D45">
        <f t="shared" si="0"/>
        <v>5</v>
      </c>
      <c r="E45">
        <f t="shared" si="1"/>
        <v>14</v>
      </c>
      <c r="F45" t="str">
        <f t="shared" si="3"/>
        <v>SAN JOSE'</v>
      </c>
      <c r="G45" t="s">
        <v>386</v>
      </c>
    </row>
    <row r="46" spans="1:7">
      <c r="A46" t="s">
        <v>45</v>
      </c>
      <c r="B46" t="s">
        <v>207</v>
      </c>
      <c r="C46">
        <v>20</v>
      </c>
      <c r="D46">
        <f t="shared" si="0"/>
        <v>5</v>
      </c>
      <c r="E46">
        <f t="shared" si="1"/>
        <v>13</v>
      </c>
      <c r="F46" t="str">
        <f t="shared" si="3"/>
        <v>EL MENE'</v>
      </c>
      <c r="G46" t="s">
        <v>400</v>
      </c>
    </row>
    <row r="47" spans="1:7">
      <c r="A47" t="s">
        <v>46</v>
      </c>
      <c r="B47" t="s">
        <v>208</v>
      </c>
      <c r="C47">
        <v>20</v>
      </c>
      <c r="D47">
        <f t="shared" si="0"/>
        <v>5</v>
      </c>
      <c r="E47">
        <f t="shared" si="1"/>
        <v>27</v>
      </c>
      <c r="F47" t="str">
        <f t="shared" si="3"/>
        <v>PEDRO LUCAS URRIBARRI'</v>
      </c>
      <c r="G47" t="s">
        <v>401</v>
      </c>
    </row>
    <row r="48" spans="1:7">
      <c r="A48" t="s">
        <v>47</v>
      </c>
      <c r="B48" t="s">
        <v>209</v>
      </c>
      <c r="C48">
        <v>20</v>
      </c>
      <c r="D48">
        <f t="shared" si="0"/>
        <v>5</v>
      </c>
      <c r="E48">
        <f t="shared" si="1"/>
        <v>28</v>
      </c>
      <c r="F48" t="str">
        <f t="shared" si="3"/>
        <v>JOSE CENOVIO URRIBARRI'</v>
      </c>
      <c r="G48" t="s">
        <v>402</v>
      </c>
    </row>
    <row r="49" spans="1:7">
      <c r="A49" t="s">
        <v>48</v>
      </c>
      <c r="B49" t="s">
        <v>210</v>
      </c>
      <c r="C49">
        <v>21</v>
      </c>
      <c r="D49">
        <f t="shared" si="0"/>
        <v>5</v>
      </c>
      <c r="E49">
        <f t="shared" si="1"/>
        <v>12</v>
      </c>
      <c r="F49" t="str">
        <f t="shared" si="3"/>
        <v>VARIAS'</v>
      </c>
      <c r="G49" t="s">
        <v>345</v>
      </c>
    </row>
    <row r="50" spans="1:7">
      <c r="A50" t="s">
        <v>49</v>
      </c>
      <c r="B50" t="s">
        <v>211</v>
      </c>
      <c r="C50">
        <v>20</v>
      </c>
      <c r="D50">
        <f t="shared" si="0"/>
        <v>5</v>
      </c>
      <c r="E50">
        <f t="shared" si="1"/>
        <v>12</v>
      </c>
      <c r="F50" t="str">
        <f t="shared" si="3"/>
        <v>VARIOS'</v>
      </c>
      <c r="G50" t="s">
        <v>363</v>
      </c>
    </row>
    <row r="51" spans="1:7">
      <c r="A51" t="s">
        <v>50</v>
      </c>
      <c r="B51" t="s">
        <v>212</v>
      </c>
      <c r="C51">
        <v>21</v>
      </c>
      <c r="D51">
        <f t="shared" si="0"/>
        <v>5</v>
      </c>
      <c r="E51">
        <f t="shared" si="1"/>
        <v>11</v>
      </c>
      <c r="F51" t="str">
        <f t="shared" si="3"/>
        <v>FARÍA'</v>
      </c>
      <c r="G51" t="s">
        <v>403</v>
      </c>
    </row>
    <row r="52" spans="1:7">
      <c r="A52" t="s">
        <v>51</v>
      </c>
      <c r="B52" t="s">
        <v>213</v>
      </c>
      <c r="C52">
        <v>21</v>
      </c>
      <c r="D52">
        <f t="shared" si="0"/>
        <v>5</v>
      </c>
      <c r="E52">
        <f t="shared" si="1"/>
        <v>22</v>
      </c>
      <c r="F52" t="str">
        <f t="shared" si="3"/>
        <v>ANA MARIA CAMPOS'</v>
      </c>
      <c r="G52" t="s">
        <v>404</v>
      </c>
    </row>
    <row r="53" spans="1:7">
      <c r="A53" t="s">
        <v>52</v>
      </c>
      <c r="B53" t="s">
        <v>214</v>
      </c>
      <c r="C53">
        <v>15</v>
      </c>
      <c r="D53">
        <f t="shared" si="0"/>
        <v>5</v>
      </c>
      <c r="E53">
        <f t="shared" si="1"/>
        <v>17</v>
      </c>
      <c r="F53" t="str">
        <f t="shared" si="3"/>
        <v>DESCONOCIDA'</v>
      </c>
      <c r="G53" t="s">
        <v>367</v>
      </c>
    </row>
    <row r="54" spans="1:7">
      <c r="A54" t="s">
        <v>53</v>
      </c>
      <c r="B54" t="s">
        <v>215</v>
      </c>
      <c r="C54">
        <v>21</v>
      </c>
      <c r="D54">
        <f t="shared" si="0"/>
        <v>5</v>
      </c>
      <c r="E54">
        <f t="shared" si="1"/>
        <v>17</v>
      </c>
      <c r="F54" t="str">
        <f t="shared" si="3"/>
        <v>DESCONOCIDA'</v>
      </c>
      <c r="G54" t="s">
        <v>367</v>
      </c>
    </row>
    <row r="55" spans="1:7">
      <c r="A55" t="s">
        <v>54</v>
      </c>
      <c r="B55" t="s">
        <v>216</v>
      </c>
      <c r="C55">
        <v>20</v>
      </c>
      <c r="D55">
        <f t="shared" si="0"/>
        <v>5</v>
      </c>
      <c r="E55">
        <f t="shared" si="1"/>
        <v>17</v>
      </c>
      <c r="F55" t="str">
        <f t="shared" si="3"/>
        <v>DESCONOCIDA'</v>
      </c>
      <c r="G55" t="s">
        <v>367</v>
      </c>
    </row>
    <row r="56" spans="1:7">
      <c r="A56" t="s">
        <v>55</v>
      </c>
      <c r="B56" t="s">
        <v>217</v>
      </c>
      <c r="C56">
        <v>13</v>
      </c>
      <c r="D56">
        <f t="shared" si="0"/>
        <v>5</v>
      </c>
      <c r="E56">
        <f t="shared" si="1"/>
        <v>21</v>
      </c>
      <c r="F56" t="str">
        <f t="shared" si="3"/>
        <v>ALONSO DE OJEDA'</v>
      </c>
      <c r="G56" t="s">
        <v>405</v>
      </c>
    </row>
    <row r="57" spans="1:7">
      <c r="A57" t="s">
        <v>56</v>
      </c>
      <c r="B57" t="s">
        <v>218</v>
      </c>
      <c r="C57">
        <v>13</v>
      </c>
      <c r="D57">
        <f t="shared" si="0"/>
        <v>5</v>
      </c>
      <c r="E57">
        <f t="shared" si="1"/>
        <v>29</v>
      </c>
      <c r="F57" t="str">
        <f t="shared" si="3"/>
        <v>ELEAZAR LÓPEZ CONTRERAS'</v>
      </c>
      <c r="G57" t="s">
        <v>406</v>
      </c>
    </row>
    <row r="58" spans="1:7">
      <c r="A58" t="s">
        <v>57</v>
      </c>
      <c r="B58" t="s">
        <v>219</v>
      </c>
      <c r="C58">
        <v>13</v>
      </c>
      <c r="D58">
        <f t="shared" si="0"/>
        <v>5</v>
      </c>
      <c r="E58">
        <f t="shared" si="1"/>
        <v>15</v>
      </c>
      <c r="F58" t="str">
        <f t="shared" si="3"/>
        <v>VENEZUELA'</v>
      </c>
      <c r="G58" t="s">
        <v>407</v>
      </c>
    </row>
    <row r="59" spans="1:7">
      <c r="A59" t="s">
        <v>58</v>
      </c>
      <c r="B59" t="s">
        <v>220</v>
      </c>
      <c r="C59">
        <v>13</v>
      </c>
      <c r="D59">
        <f t="shared" si="0"/>
        <v>5</v>
      </c>
      <c r="E59">
        <f t="shared" si="1"/>
        <v>14</v>
      </c>
      <c r="F59" t="str">
        <f t="shared" si="3"/>
        <v>LIBERTAD'</v>
      </c>
      <c r="G59" t="s">
        <v>408</v>
      </c>
    </row>
    <row r="60" spans="1:7">
      <c r="A60" t="s">
        <v>59</v>
      </c>
      <c r="B60" t="s">
        <v>221</v>
      </c>
      <c r="C60">
        <v>13</v>
      </c>
      <c r="D60">
        <f t="shared" si="0"/>
        <v>5</v>
      </c>
      <c r="E60">
        <f t="shared" si="1"/>
        <v>16</v>
      </c>
      <c r="F60" t="str">
        <f t="shared" si="3"/>
        <v>CAMPO LARA'</v>
      </c>
      <c r="G60" t="s">
        <v>409</v>
      </c>
    </row>
    <row r="61" spans="1:7">
      <c r="A61" t="s">
        <v>60</v>
      </c>
      <c r="B61" t="s">
        <v>222</v>
      </c>
      <c r="C61">
        <v>13</v>
      </c>
      <c r="D61">
        <f t="shared" si="0"/>
        <v>5</v>
      </c>
      <c r="E61">
        <f t="shared" si="1"/>
        <v>16</v>
      </c>
      <c r="F61" t="str">
        <f t="shared" si="3"/>
        <v>LAGUNILLAS'</v>
      </c>
      <c r="G61" t="s">
        <v>410</v>
      </c>
    </row>
    <row r="62" spans="1:7">
      <c r="A62" t="s">
        <v>61</v>
      </c>
      <c r="B62" t="s">
        <v>223</v>
      </c>
      <c r="C62">
        <v>13</v>
      </c>
      <c r="D62">
        <f t="shared" si="0"/>
        <v>5</v>
      </c>
      <c r="E62">
        <f t="shared" si="1"/>
        <v>12</v>
      </c>
      <c r="F62" t="str">
        <f t="shared" si="3"/>
        <v>VARIOS'</v>
      </c>
      <c r="G62" t="s">
        <v>363</v>
      </c>
    </row>
    <row r="63" spans="1:7">
      <c r="A63" t="s">
        <v>62</v>
      </c>
      <c r="B63" t="s">
        <v>224</v>
      </c>
      <c r="C63">
        <v>19</v>
      </c>
      <c r="D63">
        <f t="shared" si="0"/>
        <v>5</v>
      </c>
      <c r="E63">
        <f t="shared" si="1"/>
        <v>21</v>
      </c>
      <c r="F63" t="str">
        <f t="shared" si="3"/>
        <v>MANUEL MANRIQUE'</v>
      </c>
      <c r="G63" t="s">
        <v>411</v>
      </c>
    </row>
    <row r="64" spans="1:7">
      <c r="A64" t="s">
        <v>63</v>
      </c>
      <c r="B64" t="s">
        <v>225</v>
      </c>
      <c r="C64">
        <v>19</v>
      </c>
      <c r="D64">
        <f t="shared" si="0"/>
        <v>5</v>
      </c>
      <c r="E64">
        <f t="shared" si="1"/>
        <v>25</v>
      </c>
      <c r="F64" t="str">
        <f t="shared" si="3"/>
        <v>RAFAEL MARIA BARALT'</v>
      </c>
      <c r="G64" t="s">
        <v>412</v>
      </c>
    </row>
    <row r="65" spans="1:7">
      <c r="A65" t="s">
        <v>64</v>
      </c>
      <c r="B65" t="s">
        <v>226</v>
      </c>
      <c r="C65">
        <v>19</v>
      </c>
      <c r="D65">
        <f t="shared" si="0"/>
        <v>5</v>
      </c>
      <c r="E65">
        <f t="shared" si="1"/>
        <v>21</v>
      </c>
      <c r="F65" t="str">
        <f t="shared" si="3"/>
        <v>RAFAEL URDANETA'</v>
      </c>
      <c r="G65" t="s">
        <v>413</v>
      </c>
    </row>
    <row r="66" spans="1:7">
      <c r="A66" t="s">
        <v>65</v>
      </c>
      <c r="B66" t="s">
        <v>227</v>
      </c>
      <c r="C66">
        <v>14</v>
      </c>
      <c r="D66">
        <f t="shared" ref="D66:D129" si="4">+FINDB("'",B66)</f>
        <v>5</v>
      </c>
      <c r="E66">
        <f t="shared" ref="E66:E129" si="5">+FIND("'",B66,7)</f>
        <v>17</v>
      </c>
      <c r="F66" t="str">
        <f t="shared" si="3"/>
        <v>LA VICTORIA'</v>
      </c>
      <c r="G66" t="s">
        <v>414</v>
      </c>
    </row>
    <row r="67" spans="1:7">
      <c r="A67" t="s">
        <v>66</v>
      </c>
      <c r="B67" t="s">
        <v>228</v>
      </c>
      <c r="C67">
        <v>14</v>
      </c>
      <c r="D67">
        <f t="shared" si="4"/>
        <v>5</v>
      </c>
      <c r="E67">
        <f t="shared" si="5"/>
        <v>17</v>
      </c>
      <c r="F67" t="str">
        <f t="shared" si="3"/>
        <v>RAUL CUENCA'</v>
      </c>
      <c r="G67" t="s">
        <v>415</v>
      </c>
    </row>
    <row r="68" spans="1:7">
      <c r="A68" t="s">
        <v>67</v>
      </c>
      <c r="B68" t="s">
        <v>229</v>
      </c>
      <c r="C68">
        <v>14</v>
      </c>
      <c r="D68">
        <f t="shared" si="4"/>
        <v>5</v>
      </c>
      <c r="E68">
        <f t="shared" si="5"/>
        <v>12</v>
      </c>
      <c r="F68" t="str">
        <f t="shared" si="3"/>
        <v>VARIAS'</v>
      </c>
      <c r="G68" t="s">
        <v>345</v>
      </c>
    </row>
    <row r="69" spans="1:7">
      <c r="A69" t="s">
        <v>68</v>
      </c>
      <c r="B69" t="s">
        <v>230</v>
      </c>
      <c r="C69">
        <v>14</v>
      </c>
      <c r="D69">
        <f t="shared" si="4"/>
        <v>5</v>
      </c>
      <c r="E69">
        <f t="shared" si="5"/>
        <v>21</v>
      </c>
      <c r="F69" t="str">
        <f t="shared" si="3"/>
        <v>RAFAEL URDANETA'</v>
      </c>
      <c r="G69" t="s">
        <v>413</v>
      </c>
    </row>
    <row r="70" spans="1:7">
      <c r="A70" t="s">
        <v>69</v>
      </c>
      <c r="B70" t="s">
        <v>231</v>
      </c>
      <c r="C70">
        <v>14</v>
      </c>
      <c r="D70">
        <f t="shared" si="4"/>
        <v>5</v>
      </c>
      <c r="E70">
        <f t="shared" si="5"/>
        <v>12</v>
      </c>
      <c r="F70" t="str">
        <f t="shared" si="3"/>
        <v>VARIOS'</v>
      </c>
      <c r="G70" t="s">
        <v>363</v>
      </c>
    </row>
    <row r="71" spans="1:7">
      <c r="A71" t="s">
        <v>70</v>
      </c>
      <c r="B71" t="s">
        <v>232</v>
      </c>
      <c r="C71">
        <v>13</v>
      </c>
      <c r="D71">
        <f t="shared" si="4"/>
        <v>5</v>
      </c>
      <c r="E71">
        <f t="shared" si="5"/>
        <v>17</v>
      </c>
      <c r="F71" t="str">
        <f t="shared" si="3"/>
        <v>DESCONOCIDA'</v>
      </c>
      <c r="G71" t="s">
        <v>367</v>
      </c>
    </row>
    <row r="72" spans="1:7">
      <c r="A72" t="s">
        <v>71</v>
      </c>
      <c r="B72" t="s">
        <v>233</v>
      </c>
      <c r="C72">
        <v>18</v>
      </c>
      <c r="D72">
        <f t="shared" si="4"/>
        <v>5</v>
      </c>
      <c r="E72">
        <f t="shared" si="5"/>
        <v>16</v>
      </c>
      <c r="F72" t="str">
        <f t="shared" si="3"/>
        <v>LIBERTADOR'</v>
      </c>
      <c r="G72" t="s">
        <v>360</v>
      </c>
    </row>
    <row r="73" spans="1:7">
      <c r="A73" t="s">
        <v>72</v>
      </c>
      <c r="B73" t="s">
        <v>234</v>
      </c>
      <c r="C73">
        <v>18</v>
      </c>
      <c r="D73">
        <f t="shared" si="4"/>
        <v>5</v>
      </c>
      <c r="E73">
        <f t="shared" si="5"/>
        <v>17</v>
      </c>
      <c r="F73" t="str">
        <f t="shared" si="3"/>
        <v>DESCONOCIDA'</v>
      </c>
      <c r="G73" t="s">
        <v>367</v>
      </c>
    </row>
    <row r="74" spans="1:7">
      <c r="A74" t="s">
        <v>73</v>
      </c>
      <c r="B74" t="s">
        <v>235</v>
      </c>
      <c r="C74">
        <v>18</v>
      </c>
      <c r="D74">
        <f t="shared" si="4"/>
        <v>5</v>
      </c>
      <c r="E74">
        <f t="shared" si="5"/>
        <v>26</v>
      </c>
      <c r="F74" t="str">
        <f t="shared" si="3"/>
        <v>MANUEL GUANIPA MATOS'</v>
      </c>
      <c r="G74" t="s">
        <v>416</v>
      </c>
    </row>
    <row r="75" spans="1:7">
      <c r="A75" t="s">
        <v>74</v>
      </c>
      <c r="B75" t="s">
        <v>236</v>
      </c>
      <c r="C75">
        <v>18</v>
      </c>
      <c r="D75">
        <f t="shared" si="4"/>
        <v>5</v>
      </c>
      <c r="E75">
        <f t="shared" si="5"/>
        <v>18</v>
      </c>
      <c r="F75" t="str">
        <f t="shared" si="3"/>
        <v>PUEBLO NUEVO'</v>
      </c>
      <c r="G75" t="s">
        <v>417</v>
      </c>
    </row>
    <row r="76" spans="1:7">
      <c r="A76" t="s">
        <v>75</v>
      </c>
      <c r="B76" t="s">
        <v>237</v>
      </c>
      <c r="C76">
        <v>18</v>
      </c>
      <c r="D76">
        <f t="shared" si="4"/>
        <v>5</v>
      </c>
      <c r="E76">
        <f t="shared" si="5"/>
        <v>23</v>
      </c>
      <c r="F76" t="str">
        <f t="shared" si="3"/>
        <v>MARCELINO BRICEÑO'</v>
      </c>
      <c r="G76" t="s">
        <v>418</v>
      </c>
    </row>
    <row r="77" spans="1:7">
      <c r="A77" t="s">
        <v>76</v>
      </c>
      <c r="B77" t="s">
        <v>238</v>
      </c>
      <c r="C77">
        <v>18</v>
      </c>
      <c r="D77">
        <f t="shared" si="4"/>
        <v>5</v>
      </c>
      <c r="E77">
        <f t="shared" si="5"/>
        <v>17</v>
      </c>
      <c r="F77" t="str">
        <f t="shared" si="3"/>
        <v>SAN TIMOTEO'</v>
      </c>
      <c r="G77" t="s">
        <v>419</v>
      </c>
    </row>
    <row r="78" spans="1:7">
      <c r="A78" t="s">
        <v>77</v>
      </c>
      <c r="B78" t="s">
        <v>239</v>
      </c>
      <c r="C78">
        <v>18</v>
      </c>
      <c r="D78">
        <f t="shared" si="4"/>
        <v>5</v>
      </c>
      <c r="E78">
        <f t="shared" si="5"/>
        <v>29</v>
      </c>
      <c r="F78" t="str">
        <f t="shared" si="3"/>
        <v>GENERAL RAFAEL URDANETA'</v>
      </c>
      <c r="G78" t="s">
        <v>420</v>
      </c>
    </row>
    <row r="79" spans="1:7">
      <c r="A79" t="s">
        <v>78</v>
      </c>
      <c r="B79" t="s">
        <v>240</v>
      </c>
      <c r="C79">
        <v>18</v>
      </c>
      <c r="D79">
        <f t="shared" si="4"/>
        <v>5</v>
      </c>
      <c r="E79">
        <f t="shared" si="5"/>
        <v>17</v>
      </c>
      <c r="F79" t="str">
        <f t="shared" si="3"/>
        <v>MENE GRANDE'</v>
      </c>
      <c r="G79" t="s">
        <v>421</v>
      </c>
    </row>
    <row r="80" spans="1:7">
      <c r="A80" t="s">
        <v>79</v>
      </c>
      <c r="B80" t="s">
        <v>241</v>
      </c>
      <c r="C80">
        <v>18</v>
      </c>
      <c r="D80">
        <f t="shared" si="4"/>
        <v>5</v>
      </c>
      <c r="E80">
        <f t="shared" si="5"/>
        <v>12</v>
      </c>
      <c r="F80" t="str">
        <f t="shared" si="3"/>
        <v>VARIAS'</v>
      </c>
      <c r="G80" t="s">
        <v>345</v>
      </c>
    </row>
    <row r="81" spans="1:7">
      <c r="A81" t="s">
        <v>80</v>
      </c>
      <c r="B81" t="s">
        <v>242</v>
      </c>
      <c r="C81">
        <v>18</v>
      </c>
      <c r="D81">
        <f t="shared" si="4"/>
        <v>5</v>
      </c>
      <c r="E81" t="e">
        <f t="shared" si="5"/>
        <v>#VALUE!</v>
      </c>
      <c r="F81" t="str">
        <f>+MID(B81,D81+1,30)</f>
        <v>PUEBLO NUEVO Y LIBERTADOR</v>
      </c>
      <c r="G81" t="s">
        <v>338</v>
      </c>
    </row>
    <row r="82" spans="1:7">
      <c r="A82" t="s">
        <v>81</v>
      </c>
      <c r="B82" t="s">
        <v>243</v>
      </c>
      <c r="C82">
        <v>14</v>
      </c>
      <c r="D82">
        <f t="shared" si="4"/>
        <v>5</v>
      </c>
      <c r="E82">
        <f t="shared" si="5"/>
        <v>17</v>
      </c>
      <c r="F82" t="str">
        <f t="shared" ref="F82:F104" si="6">+MID(B82,D82+1,E82-5)</f>
        <v>DESCONOCIDA'</v>
      </c>
      <c r="G82" t="s">
        <v>367</v>
      </c>
    </row>
    <row r="83" spans="1:7">
      <c r="A83" t="s">
        <v>82</v>
      </c>
      <c r="B83" t="s">
        <v>244</v>
      </c>
      <c r="C83">
        <v>19</v>
      </c>
      <c r="D83">
        <f t="shared" si="4"/>
        <v>5</v>
      </c>
      <c r="E83">
        <f t="shared" si="5"/>
        <v>17</v>
      </c>
      <c r="F83" t="str">
        <f t="shared" si="6"/>
        <v>DESCONOCIDA'</v>
      </c>
      <c r="G83" t="s">
        <v>367</v>
      </c>
    </row>
    <row r="84" spans="1:7">
      <c r="A84" t="s">
        <v>83</v>
      </c>
      <c r="B84" t="s">
        <v>245</v>
      </c>
      <c r="C84">
        <v>9</v>
      </c>
      <c r="D84">
        <f t="shared" si="4"/>
        <v>4</v>
      </c>
      <c r="E84">
        <f t="shared" si="5"/>
        <v>17</v>
      </c>
      <c r="F84" t="str">
        <f t="shared" si="6"/>
        <v>ISLA DE TOAS</v>
      </c>
      <c r="G84" t="s">
        <v>339</v>
      </c>
    </row>
    <row r="85" spans="1:7">
      <c r="A85" t="s">
        <v>84</v>
      </c>
      <c r="B85" t="s">
        <v>246</v>
      </c>
      <c r="C85">
        <v>16</v>
      </c>
      <c r="D85">
        <f t="shared" si="4"/>
        <v>5</v>
      </c>
      <c r="E85">
        <f t="shared" si="5"/>
        <v>17</v>
      </c>
      <c r="F85" t="str">
        <f t="shared" si="6"/>
        <v>ENCONTRADOS'</v>
      </c>
      <c r="G85" t="s">
        <v>422</v>
      </c>
    </row>
    <row r="86" spans="1:7">
      <c r="A86" t="s">
        <v>85</v>
      </c>
      <c r="B86" t="s">
        <v>247</v>
      </c>
      <c r="C86">
        <v>3</v>
      </c>
      <c r="D86">
        <f t="shared" si="4"/>
        <v>4</v>
      </c>
      <c r="E86">
        <f t="shared" si="5"/>
        <v>17</v>
      </c>
      <c r="F86" t="str">
        <f t="shared" si="6"/>
        <v>LAS PARCELAS</v>
      </c>
      <c r="G86" t="s">
        <v>340</v>
      </c>
    </row>
    <row r="87" spans="1:7">
      <c r="A87" t="s">
        <v>86</v>
      </c>
      <c r="B87" t="s">
        <v>248</v>
      </c>
      <c r="C87">
        <v>3</v>
      </c>
      <c r="D87">
        <f t="shared" si="4"/>
        <v>4</v>
      </c>
      <c r="E87">
        <f t="shared" si="5"/>
        <v>20</v>
      </c>
      <c r="F87" t="str">
        <f t="shared" si="6"/>
        <v>LUIS DE VICENTE</v>
      </c>
      <c r="G87" t="s">
        <v>341</v>
      </c>
    </row>
    <row r="88" spans="1:7">
      <c r="A88" t="s">
        <v>87</v>
      </c>
      <c r="B88" t="s">
        <v>249</v>
      </c>
      <c r="C88">
        <v>3</v>
      </c>
      <c r="D88">
        <f t="shared" si="4"/>
        <v>4</v>
      </c>
      <c r="E88">
        <f t="shared" si="5"/>
        <v>16</v>
      </c>
      <c r="F88" t="str">
        <f t="shared" si="6"/>
        <v>LA SIERRITA</v>
      </c>
      <c r="G88" t="s">
        <v>342</v>
      </c>
    </row>
    <row r="89" spans="1:7">
      <c r="A89" t="s">
        <v>88</v>
      </c>
      <c r="B89" t="s">
        <v>250</v>
      </c>
      <c r="C89">
        <v>3</v>
      </c>
      <c r="D89">
        <f t="shared" si="4"/>
        <v>4</v>
      </c>
      <c r="E89">
        <f t="shared" si="5"/>
        <v>13</v>
      </c>
      <c r="F89" t="str">
        <f t="shared" si="6"/>
        <v>RICAURTE</v>
      </c>
      <c r="G89" t="s">
        <v>343</v>
      </c>
    </row>
    <row r="90" spans="1:7">
      <c r="A90" t="s">
        <v>89</v>
      </c>
      <c r="B90" t="s">
        <v>251</v>
      </c>
      <c r="C90">
        <v>4</v>
      </c>
      <c r="D90">
        <f t="shared" si="4"/>
        <v>4</v>
      </c>
      <c r="E90">
        <f t="shared" si="5"/>
        <v>25</v>
      </c>
      <c r="F90" t="str">
        <f t="shared" si="6"/>
        <v>SAN RAFAEL DEL MOJAN</v>
      </c>
      <c r="G90" t="s">
        <v>344</v>
      </c>
    </row>
    <row r="91" spans="1:7">
      <c r="A91" t="s">
        <v>90</v>
      </c>
      <c r="B91" t="s">
        <v>252</v>
      </c>
      <c r="C91">
        <v>5</v>
      </c>
      <c r="D91">
        <f t="shared" si="4"/>
        <v>4</v>
      </c>
      <c r="E91">
        <f t="shared" si="5"/>
        <v>11</v>
      </c>
      <c r="F91" t="str">
        <f t="shared" si="6"/>
        <v>VARIAS</v>
      </c>
      <c r="G91" t="s">
        <v>345</v>
      </c>
    </row>
    <row r="92" spans="1:7">
      <c r="A92" t="s">
        <v>91</v>
      </c>
      <c r="B92" t="s">
        <v>253</v>
      </c>
      <c r="C92">
        <v>7</v>
      </c>
      <c r="D92">
        <f t="shared" si="4"/>
        <v>4</v>
      </c>
      <c r="E92">
        <f t="shared" si="5"/>
        <v>12</v>
      </c>
      <c r="F92" t="str">
        <f t="shared" si="6"/>
        <v>GUAJIRA</v>
      </c>
      <c r="G92" t="s">
        <v>346</v>
      </c>
    </row>
    <row r="93" spans="1:7">
      <c r="A93" t="s">
        <v>92</v>
      </c>
      <c r="B93" t="s">
        <v>254</v>
      </c>
      <c r="C93">
        <v>8</v>
      </c>
      <c r="D93">
        <f t="shared" si="4"/>
        <v>4</v>
      </c>
      <c r="E93">
        <f t="shared" si="5"/>
        <v>17</v>
      </c>
      <c r="F93" t="str">
        <f t="shared" si="6"/>
        <v>ALTA GUAJIRA</v>
      </c>
      <c r="G93" t="s">
        <v>347</v>
      </c>
    </row>
    <row r="94" spans="1:7">
      <c r="A94" t="s">
        <v>93</v>
      </c>
      <c r="B94" t="s">
        <v>255</v>
      </c>
      <c r="C94">
        <v>8</v>
      </c>
      <c r="D94">
        <f t="shared" si="4"/>
        <v>4</v>
      </c>
      <c r="E94">
        <f t="shared" si="5"/>
        <v>12</v>
      </c>
      <c r="F94" t="str">
        <f t="shared" si="6"/>
        <v>BOBURES</v>
      </c>
      <c r="G94" t="s">
        <v>348</v>
      </c>
    </row>
    <row r="95" spans="1:7">
      <c r="A95" t="s">
        <v>94</v>
      </c>
      <c r="B95" t="s">
        <v>256</v>
      </c>
      <c r="C95">
        <v>4</v>
      </c>
      <c r="D95">
        <f t="shared" si="4"/>
        <v>4</v>
      </c>
      <c r="E95">
        <f t="shared" si="5"/>
        <v>12</v>
      </c>
      <c r="F95" t="str">
        <f t="shared" si="6"/>
        <v>MONAGAS</v>
      </c>
      <c r="G95" t="s">
        <v>349</v>
      </c>
    </row>
    <row r="96" spans="1:7">
      <c r="A96" t="s">
        <v>95</v>
      </c>
      <c r="B96" t="s">
        <v>257</v>
      </c>
      <c r="C96">
        <v>5</v>
      </c>
      <c r="D96">
        <f t="shared" si="4"/>
        <v>4</v>
      </c>
      <c r="E96">
        <f t="shared" si="5"/>
        <v>24</v>
      </c>
      <c r="F96" t="str">
        <f t="shared" si="6"/>
        <v>MARCOS SERGIO GODOY</v>
      </c>
      <c r="G96" t="s">
        <v>350</v>
      </c>
    </row>
    <row r="97" spans="1:7">
      <c r="A97" t="s">
        <v>96</v>
      </c>
      <c r="B97" t="s">
        <v>258</v>
      </c>
      <c r="C97">
        <v>7</v>
      </c>
      <c r="D97">
        <f t="shared" si="4"/>
        <v>4</v>
      </c>
      <c r="E97">
        <f t="shared" si="5"/>
        <v>14</v>
      </c>
      <c r="F97" t="str">
        <f t="shared" si="6"/>
        <v>SINAMAICA</v>
      </c>
      <c r="G97" t="s">
        <v>351</v>
      </c>
    </row>
    <row r="98" spans="1:7">
      <c r="A98" t="s">
        <v>97</v>
      </c>
      <c r="B98" t="s">
        <v>259</v>
      </c>
      <c r="C98">
        <v>8</v>
      </c>
      <c r="D98">
        <f t="shared" si="4"/>
        <v>4</v>
      </c>
      <c r="E98">
        <f t="shared" si="5"/>
        <v>24</v>
      </c>
      <c r="F98" t="str">
        <f t="shared" si="6"/>
        <v>ELIAS SANCHEZ RUBIO</v>
      </c>
      <c r="G98" t="s">
        <v>352</v>
      </c>
    </row>
    <row r="99" spans="1:7">
      <c r="A99" t="s">
        <v>98</v>
      </c>
      <c r="B99" t="s">
        <v>260</v>
      </c>
      <c r="C99">
        <v>8</v>
      </c>
      <c r="D99">
        <f t="shared" si="4"/>
        <v>4</v>
      </c>
      <c r="E99">
        <f t="shared" si="5"/>
        <v>20</v>
      </c>
      <c r="F99" t="str">
        <f t="shared" si="6"/>
        <v>ROMULO GALLEGOS</v>
      </c>
      <c r="G99" t="s">
        <v>353</v>
      </c>
    </row>
    <row r="100" spans="1:7">
      <c r="A100" t="s">
        <v>99</v>
      </c>
      <c r="B100" t="s">
        <v>261</v>
      </c>
      <c r="C100">
        <v>8</v>
      </c>
      <c r="D100">
        <f t="shared" si="4"/>
        <v>4</v>
      </c>
      <c r="E100">
        <f t="shared" si="5"/>
        <v>13</v>
      </c>
      <c r="F100" t="str">
        <f t="shared" si="6"/>
        <v>EL BATEY</v>
      </c>
      <c r="G100" t="s">
        <v>354</v>
      </c>
    </row>
    <row r="101" spans="1:7">
      <c r="A101" t="s">
        <v>100</v>
      </c>
      <c r="B101" t="s">
        <v>262</v>
      </c>
      <c r="C101">
        <v>8</v>
      </c>
      <c r="D101">
        <f t="shared" si="4"/>
        <v>4</v>
      </c>
      <c r="E101">
        <f t="shared" si="5"/>
        <v>11</v>
      </c>
      <c r="F101" t="str">
        <f t="shared" si="6"/>
        <v>VARIAS</v>
      </c>
      <c r="G101" t="s">
        <v>345</v>
      </c>
    </row>
    <row r="102" spans="1:7">
      <c r="A102" t="s">
        <v>101</v>
      </c>
      <c r="B102" t="s">
        <v>263</v>
      </c>
      <c r="C102">
        <v>16</v>
      </c>
      <c r="D102">
        <f t="shared" si="4"/>
        <v>5</v>
      </c>
      <c r="E102">
        <f t="shared" si="5"/>
        <v>16</v>
      </c>
      <c r="F102" t="str">
        <f t="shared" si="6"/>
        <v>UDON PEREZ'</v>
      </c>
      <c r="G102" t="s">
        <v>423</v>
      </c>
    </row>
    <row r="103" spans="1:7">
      <c r="A103" t="s">
        <v>102</v>
      </c>
      <c r="B103" t="s">
        <v>264</v>
      </c>
      <c r="C103">
        <v>16</v>
      </c>
      <c r="D103">
        <f t="shared" si="4"/>
        <v>5</v>
      </c>
      <c r="E103">
        <f t="shared" si="5"/>
        <v>12</v>
      </c>
      <c r="F103" t="str">
        <f t="shared" si="6"/>
        <v>VARIAS'</v>
      </c>
      <c r="G103" t="s">
        <v>345</v>
      </c>
    </row>
    <row r="104" spans="1:7">
      <c r="A104" t="s">
        <v>103</v>
      </c>
      <c r="B104" t="s">
        <v>265</v>
      </c>
      <c r="C104">
        <v>9</v>
      </c>
      <c r="D104">
        <f t="shared" si="4"/>
        <v>4</v>
      </c>
      <c r="E104">
        <f t="shared" si="5"/>
        <v>11</v>
      </c>
      <c r="F104" t="str">
        <f t="shared" si="6"/>
        <v>TAMARE</v>
      </c>
      <c r="G104" t="s">
        <v>355</v>
      </c>
    </row>
    <row r="105" spans="1:7">
      <c r="A105" t="s">
        <v>104</v>
      </c>
      <c r="B105" t="s">
        <v>266</v>
      </c>
      <c r="C105">
        <v>9</v>
      </c>
      <c r="D105">
        <f t="shared" si="4"/>
        <v>4</v>
      </c>
      <c r="E105" t="e">
        <f t="shared" si="5"/>
        <v>#VALUE!</v>
      </c>
      <c r="F105" t="str">
        <f>+MID(B105,D105+1,30)</f>
        <v xml:space="preserve">MONSEÑOR ARTURO CELESTINO </v>
      </c>
      <c r="G105" t="s">
        <v>356</v>
      </c>
    </row>
    <row r="106" spans="1:7">
      <c r="A106" t="s">
        <v>105</v>
      </c>
      <c r="B106" t="s">
        <v>267</v>
      </c>
      <c r="C106">
        <v>8</v>
      </c>
      <c r="D106">
        <f t="shared" si="4"/>
        <v>4</v>
      </c>
      <c r="E106">
        <f t="shared" si="5"/>
        <v>10</v>
      </c>
      <c r="F106" t="str">
        <f t="shared" ref="F106:F138" si="7">+MID(B106,D106+1,E106-5)</f>
        <v>HERAS</v>
      </c>
      <c r="G106" t="s">
        <v>357</v>
      </c>
    </row>
    <row r="107" spans="1:7">
      <c r="A107" t="s">
        <v>106</v>
      </c>
      <c r="B107" t="s">
        <v>268</v>
      </c>
      <c r="C107">
        <v>8</v>
      </c>
      <c r="D107">
        <f t="shared" si="4"/>
        <v>4</v>
      </c>
      <c r="E107">
        <f t="shared" si="5"/>
        <v>14</v>
      </c>
      <c r="F107" t="str">
        <f t="shared" si="7"/>
        <v>GIBRALTAR</v>
      </c>
      <c r="G107" t="s">
        <v>358</v>
      </c>
    </row>
    <row r="108" spans="1:7">
      <c r="A108" t="s">
        <v>107</v>
      </c>
      <c r="B108" t="s">
        <v>269</v>
      </c>
      <c r="C108">
        <v>8</v>
      </c>
      <c r="D108">
        <f t="shared" si="4"/>
        <v>4</v>
      </c>
      <c r="E108">
        <f t="shared" si="5"/>
        <v>16</v>
      </c>
      <c r="F108" t="str">
        <f t="shared" si="7"/>
        <v>SANTA MARIA</v>
      </c>
      <c r="G108" t="s">
        <v>359</v>
      </c>
    </row>
    <row r="109" spans="1:7">
      <c r="A109" t="s">
        <v>108</v>
      </c>
      <c r="B109" t="s">
        <v>270</v>
      </c>
      <c r="C109">
        <v>4</v>
      </c>
      <c r="D109">
        <f t="shared" si="4"/>
        <v>4</v>
      </c>
      <c r="E109">
        <f t="shared" si="5"/>
        <v>15</v>
      </c>
      <c r="F109" t="str">
        <f t="shared" si="7"/>
        <v>LIBERTADOR</v>
      </c>
      <c r="G109" t="s">
        <v>360</v>
      </c>
    </row>
    <row r="110" spans="1:7">
      <c r="A110" t="s">
        <v>109</v>
      </c>
      <c r="B110" t="s">
        <v>271</v>
      </c>
      <c r="C110">
        <v>4</v>
      </c>
      <c r="D110">
        <f t="shared" si="4"/>
        <v>4</v>
      </c>
      <c r="E110">
        <f t="shared" si="5"/>
        <v>15</v>
      </c>
      <c r="F110" t="str">
        <f t="shared" si="7"/>
        <v>SAN RAFAEL</v>
      </c>
      <c r="G110" t="s">
        <v>361</v>
      </c>
    </row>
    <row r="111" spans="1:7">
      <c r="A111" t="s">
        <v>110</v>
      </c>
      <c r="B111" t="s">
        <v>272</v>
      </c>
      <c r="C111">
        <v>3</v>
      </c>
      <c r="D111">
        <f t="shared" si="4"/>
        <v>4</v>
      </c>
      <c r="E111">
        <f t="shared" si="5"/>
        <v>20</v>
      </c>
      <c r="F111" t="str">
        <f t="shared" si="7"/>
        <v>SECTORES VARIOS</v>
      </c>
      <c r="G111" t="s">
        <v>362</v>
      </c>
    </row>
    <row r="112" spans="1:7">
      <c r="A112" t="s">
        <v>111</v>
      </c>
      <c r="B112" t="s">
        <v>273</v>
      </c>
      <c r="C112">
        <v>2</v>
      </c>
      <c r="D112">
        <f t="shared" si="4"/>
        <v>4</v>
      </c>
      <c r="E112">
        <f t="shared" si="5"/>
        <v>11</v>
      </c>
      <c r="F112" t="str">
        <f t="shared" si="7"/>
        <v>VARIOS</v>
      </c>
      <c r="G112" t="s">
        <v>363</v>
      </c>
    </row>
    <row r="113" spans="1:7">
      <c r="A113" t="s">
        <v>112</v>
      </c>
      <c r="B113" t="s">
        <v>274</v>
      </c>
      <c r="C113">
        <v>17</v>
      </c>
      <c r="D113">
        <f t="shared" si="4"/>
        <v>5</v>
      </c>
      <c r="E113">
        <f t="shared" si="5"/>
        <v>19</v>
      </c>
      <c r="F113" t="str">
        <f t="shared" si="7"/>
        <v>SANTA BARBARA'</v>
      </c>
      <c r="G113" t="s">
        <v>424</v>
      </c>
    </row>
    <row r="114" spans="1:7">
      <c r="A114" t="s">
        <v>113</v>
      </c>
      <c r="B114" t="s">
        <v>275</v>
      </c>
      <c r="C114">
        <v>17</v>
      </c>
      <c r="D114">
        <f t="shared" si="4"/>
        <v>5</v>
      </c>
      <c r="E114">
        <f t="shared" si="5"/>
        <v>15</v>
      </c>
      <c r="F114" t="str">
        <f t="shared" si="7"/>
        <v>URRIBARRI'</v>
      </c>
      <c r="G114" t="s">
        <v>425</v>
      </c>
    </row>
    <row r="115" spans="1:7">
      <c r="A115" t="s">
        <v>114</v>
      </c>
      <c r="B115" t="s">
        <v>276</v>
      </c>
      <c r="C115">
        <v>17</v>
      </c>
      <c r="D115">
        <f t="shared" si="4"/>
        <v>5</v>
      </c>
      <c r="E115">
        <f t="shared" si="5"/>
        <v>26</v>
      </c>
      <c r="F115" t="str">
        <f t="shared" si="7"/>
        <v>SAN CARLOS DEL ZULIA'</v>
      </c>
      <c r="G115" t="s">
        <v>426</v>
      </c>
    </row>
    <row r="116" spans="1:7">
      <c r="A116" t="s">
        <v>115</v>
      </c>
      <c r="B116" t="s">
        <v>277</v>
      </c>
      <c r="C116">
        <v>17</v>
      </c>
      <c r="D116">
        <f t="shared" si="4"/>
        <v>5</v>
      </c>
      <c r="E116">
        <f t="shared" si="5"/>
        <v>14</v>
      </c>
      <c r="F116" t="str">
        <f t="shared" si="7"/>
        <v>MORALITO'</v>
      </c>
      <c r="G116" t="s">
        <v>427</v>
      </c>
    </row>
    <row r="117" spans="1:7">
      <c r="A117" t="s">
        <v>116</v>
      </c>
      <c r="B117" t="s">
        <v>278</v>
      </c>
      <c r="C117">
        <v>17</v>
      </c>
      <c r="D117">
        <f t="shared" si="4"/>
        <v>5</v>
      </c>
      <c r="E117">
        <f t="shared" si="5"/>
        <v>26</v>
      </c>
      <c r="F117" t="str">
        <f t="shared" si="7"/>
        <v>SANTA CRUZ DEL ZULIA'</v>
      </c>
      <c r="G117" t="s">
        <v>428</v>
      </c>
    </row>
    <row r="118" spans="1:7">
      <c r="A118" t="s">
        <v>117</v>
      </c>
      <c r="B118" t="s">
        <v>279</v>
      </c>
      <c r="C118">
        <v>17</v>
      </c>
      <c r="D118">
        <f t="shared" si="4"/>
        <v>5</v>
      </c>
      <c r="E118">
        <f t="shared" si="5"/>
        <v>12</v>
      </c>
      <c r="F118" t="str">
        <f t="shared" si="7"/>
        <v>VARIAS'</v>
      </c>
      <c r="G118" t="s">
        <v>345</v>
      </c>
    </row>
    <row r="119" spans="1:7">
      <c r="A119" t="s">
        <v>118</v>
      </c>
      <c r="B119" t="s">
        <v>280</v>
      </c>
      <c r="C119">
        <v>12</v>
      </c>
      <c r="D119">
        <f t="shared" si="4"/>
        <v>5</v>
      </c>
      <c r="E119">
        <f t="shared" si="5"/>
        <v>20</v>
      </c>
      <c r="F119" t="str">
        <f t="shared" si="7"/>
        <v>CARLOS QUEVEDO'</v>
      </c>
      <c r="G119" t="s">
        <v>429</v>
      </c>
    </row>
    <row r="120" spans="1:7">
      <c r="A120" t="s">
        <v>119</v>
      </c>
      <c r="B120" t="s">
        <v>281</v>
      </c>
      <c r="C120">
        <v>12</v>
      </c>
      <c r="D120">
        <f t="shared" si="4"/>
        <v>5</v>
      </c>
      <c r="E120">
        <f t="shared" si="5"/>
        <v>29</v>
      </c>
      <c r="F120" t="str">
        <f t="shared" si="7"/>
        <v>FRANCISCO JAVIER PULGAR'</v>
      </c>
      <c r="G120" t="s">
        <v>430</v>
      </c>
    </row>
    <row r="121" spans="1:7">
      <c r="A121" t="s">
        <v>120</v>
      </c>
      <c r="B121" t="s">
        <v>282</v>
      </c>
      <c r="C121">
        <v>12</v>
      </c>
      <c r="D121">
        <f t="shared" si="4"/>
        <v>5</v>
      </c>
      <c r="E121">
        <f t="shared" si="5"/>
        <v>21</v>
      </c>
      <c r="F121" t="str">
        <f t="shared" si="7"/>
        <v>SIMON RODRIGUEZ'</v>
      </c>
      <c r="G121" t="s">
        <v>431</v>
      </c>
    </row>
    <row r="122" spans="1:7">
      <c r="A122" t="s">
        <v>121</v>
      </c>
      <c r="B122" t="s">
        <v>283</v>
      </c>
      <c r="C122">
        <v>12</v>
      </c>
      <c r="D122">
        <f t="shared" si="4"/>
        <v>5</v>
      </c>
      <c r="E122">
        <f t="shared" si="5"/>
        <v>12</v>
      </c>
      <c r="F122" t="str">
        <f t="shared" si="7"/>
        <v>VARIAS'</v>
      </c>
      <c r="G122" t="s">
        <v>345</v>
      </c>
    </row>
    <row r="123" spans="1:7">
      <c r="A123" t="s">
        <v>122</v>
      </c>
      <c r="B123" t="s">
        <v>284</v>
      </c>
      <c r="C123">
        <v>12</v>
      </c>
      <c r="D123">
        <f t="shared" si="4"/>
        <v>5</v>
      </c>
      <c r="E123">
        <f t="shared" si="5"/>
        <v>10</v>
      </c>
      <c r="F123" t="str">
        <f t="shared" si="7"/>
        <v>BARI'</v>
      </c>
      <c r="G123" t="s">
        <v>432</v>
      </c>
    </row>
    <row r="124" spans="1:7">
      <c r="A124" t="s">
        <v>123</v>
      </c>
      <c r="B124" t="s">
        <v>285</v>
      </c>
      <c r="C124">
        <v>11</v>
      </c>
      <c r="D124">
        <f t="shared" si="4"/>
        <v>5</v>
      </c>
      <c r="E124">
        <f t="shared" si="5"/>
        <v>14</v>
      </c>
      <c r="F124" t="str">
        <f t="shared" si="7"/>
        <v>LIBERTAD'</v>
      </c>
      <c r="G124" t="s">
        <v>408</v>
      </c>
    </row>
    <row r="125" spans="1:7">
      <c r="A125" t="s">
        <v>124</v>
      </c>
      <c r="B125" t="s">
        <v>286</v>
      </c>
      <c r="C125">
        <v>11</v>
      </c>
      <c r="D125">
        <f t="shared" si="4"/>
        <v>5</v>
      </c>
      <c r="E125">
        <f t="shared" si="5"/>
        <v>24</v>
      </c>
      <c r="F125" t="str">
        <f t="shared" si="7"/>
        <v>SAN JOSE DE PERIJA'</v>
      </c>
      <c r="G125" t="s">
        <v>433</v>
      </c>
    </row>
    <row r="126" spans="1:7">
      <c r="A126" t="s">
        <v>125</v>
      </c>
      <c r="B126" t="s">
        <v>287</v>
      </c>
      <c r="C126">
        <v>11</v>
      </c>
      <c r="D126">
        <f t="shared" si="4"/>
        <v>5</v>
      </c>
      <c r="E126">
        <f t="shared" si="5"/>
        <v>15</v>
      </c>
      <c r="F126" t="str">
        <f t="shared" si="7"/>
        <v>RIO NEGRO'</v>
      </c>
      <c r="G126" t="s">
        <v>434</v>
      </c>
    </row>
    <row r="127" spans="1:7">
      <c r="A127" t="s">
        <v>126</v>
      </c>
      <c r="B127" t="s">
        <v>288</v>
      </c>
      <c r="C127">
        <v>11</v>
      </c>
      <c r="D127">
        <f t="shared" si="4"/>
        <v>5</v>
      </c>
      <c r="E127">
        <f t="shared" si="5"/>
        <v>28</v>
      </c>
      <c r="F127" t="str">
        <f t="shared" si="7"/>
        <v>BARTOLOME DE LAS CASAS'</v>
      </c>
      <c r="G127" t="s">
        <v>435</v>
      </c>
    </row>
    <row r="128" spans="1:7">
      <c r="A128" t="s">
        <v>127</v>
      </c>
      <c r="B128" t="s">
        <v>289</v>
      </c>
      <c r="C128">
        <v>11</v>
      </c>
      <c r="D128">
        <f t="shared" si="4"/>
        <v>5</v>
      </c>
      <c r="E128">
        <f t="shared" si="5"/>
        <v>12</v>
      </c>
      <c r="F128" t="str">
        <f t="shared" si="7"/>
        <v>VARIAS'</v>
      </c>
      <c r="G128" t="s">
        <v>345</v>
      </c>
    </row>
    <row r="129" spans="1:7">
      <c r="A129" t="s">
        <v>128</v>
      </c>
      <c r="B129" t="s">
        <v>290</v>
      </c>
      <c r="C129">
        <v>11</v>
      </c>
      <c r="D129">
        <f t="shared" si="4"/>
        <v>5</v>
      </c>
      <c r="E129">
        <f t="shared" si="5"/>
        <v>15</v>
      </c>
      <c r="F129" t="str">
        <f t="shared" si="7"/>
        <v>MACHIQUES'</v>
      </c>
      <c r="G129" t="s">
        <v>436</v>
      </c>
    </row>
    <row r="130" spans="1:7">
      <c r="A130" t="s">
        <v>129</v>
      </c>
      <c r="B130" t="s">
        <v>291</v>
      </c>
      <c r="C130">
        <v>9</v>
      </c>
      <c r="D130">
        <f t="shared" ref="D130:D166" si="8">+FINDB("'",B130)</f>
        <v>4</v>
      </c>
      <c r="E130">
        <f t="shared" ref="E130:E166" si="9">+FIND("'",B130,7)</f>
        <v>19</v>
      </c>
      <c r="F130" t="str">
        <f t="shared" si="7"/>
        <v>DONALDO GARCIA</v>
      </c>
      <c r="G130" t="s">
        <v>364</v>
      </c>
    </row>
    <row r="131" spans="1:7">
      <c r="A131" t="s">
        <v>130</v>
      </c>
      <c r="B131" t="s">
        <v>292</v>
      </c>
      <c r="C131">
        <v>9</v>
      </c>
      <c r="D131">
        <f t="shared" si="8"/>
        <v>4</v>
      </c>
      <c r="E131">
        <f t="shared" si="9"/>
        <v>15</v>
      </c>
      <c r="F131" t="str">
        <f t="shared" si="7"/>
        <v>EL ROSARIO</v>
      </c>
      <c r="G131" t="s">
        <v>365</v>
      </c>
    </row>
    <row r="132" spans="1:7">
      <c r="A132" t="s">
        <v>131</v>
      </c>
      <c r="B132" t="s">
        <v>293</v>
      </c>
      <c r="C132">
        <v>9</v>
      </c>
      <c r="D132">
        <f t="shared" si="8"/>
        <v>4</v>
      </c>
      <c r="E132">
        <f t="shared" si="9"/>
        <v>16</v>
      </c>
      <c r="F132" t="str">
        <f t="shared" si="7"/>
        <v>BARRANQUITA</v>
      </c>
      <c r="G132" t="s">
        <v>366</v>
      </c>
    </row>
    <row r="133" spans="1:7">
      <c r="A133" t="s">
        <v>132</v>
      </c>
      <c r="B133" t="s">
        <v>294</v>
      </c>
      <c r="C133">
        <v>9</v>
      </c>
      <c r="D133">
        <f t="shared" si="8"/>
        <v>4</v>
      </c>
      <c r="E133">
        <f t="shared" si="9"/>
        <v>11</v>
      </c>
      <c r="F133" t="str">
        <f t="shared" si="7"/>
        <v>VARIOS</v>
      </c>
      <c r="G133" t="s">
        <v>363</v>
      </c>
    </row>
    <row r="134" spans="1:7">
      <c r="A134" t="s">
        <v>133</v>
      </c>
      <c r="B134" t="s">
        <v>295</v>
      </c>
      <c r="C134">
        <v>10</v>
      </c>
      <c r="D134">
        <f t="shared" si="8"/>
        <v>5</v>
      </c>
      <c r="E134">
        <f t="shared" si="9"/>
        <v>25</v>
      </c>
      <c r="F134" t="str">
        <f t="shared" si="7"/>
        <v>JESUS MARIA SEMPRUN'</v>
      </c>
      <c r="G134" t="s">
        <v>388</v>
      </c>
    </row>
    <row r="135" spans="1:7">
      <c r="A135" t="s">
        <v>134</v>
      </c>
      <c r="B135" t="s">
        <v>296</v>
      </c>
      <c r="C135">
        <v>10</v>
      </c>
      <c r="D135">
        <f t="shared" si="8"/>
        <v>5</v>
      </c>
      <c r="E135">
        <f t="shared" si="9"/>
        <v>10</v>
      </c>
      <c r="F135" t="str">
        <f t="shared" si="7"/>
        <v>BARI'</v>
      </c>
      <c r="G135" t="s">
        <v>432</v>
      </c>
    </row>
    <row r="136" spans="1:7">
      <c r="A136" t="s">
        <v>135</v>
      </c>
      <c r="B136" t="s">
        <v>297</v>
      </c>
      <c r="C136">
        <v>10</v>
      </c>
      <c r="D136">
        <f t="shared" si="8"/>
        <v>5</v>
      </c>
      <c r="E136">
        <f t="shared" si="9"/>
        <v>27</v>
      </c>
      <c r="F136" t="str">
        <f t="shared" si="7"/>
        <v>VIA ALTERNA A CASIGUA'</v>
      </c>
      <c r="G136" t="s">
        <v>437</v>
      </c>
    </row>
    <row r="137" spans="1:7">
      <c r="A137" t="s">
        <v>136</v>
      </c>
      <c r="B137" t="s">
        <v>298</v>
      </c>
      <c r="C137">
        <v>10</v>
      </c>
      <c r="D137">
        <f t="shared" si="8"/>
        <v>5</v>
      </c>
      <c r="E137">
        <f t="shared" si="9"/>
        <v>21</v>
      </c>
      <c r="F137" t="str">
        <f t="shared" si="7"/>
        <v>CASIGUA EL CUBO'</v>
      </c>
      <c r="G137" t="s">
        <v>438</v>
      </c>
    </row>
    <row r="138" spans="1:7">
      <c r="A138" t="s">
        <v>137</v>
      </c>
      <c r="B138" t="s">
        <v>299</v>
      </c>
      <c r="C138">
        <v>10</v>
      </c>
      <c r="D138">
        <f t="shared" si="8"/>
        <v>5</v>
      </c>
      <c r="E138">
        <f t="shared" si="9"/>
        <v>12</v>
      </c>
      <c r="F138" t="str">
        <f t="shared" si="7"/>
        <v>VARIAS'</v>
      </c>
      <c r="G138" t="s">
        <v>345</v>
      </c>
    </row>
    <row r="139" spans="1:7">
      <c r="A139" t="s">
        <v>138</v>
      </c>
      <c r="B139" t="s">
        <v>300</v>
      </c>
      <c r="C139">
        <v>7</v>
      </c>
      <c r="D139">
        <f t="shared" si="8"/>
        <v>3</v>
      </c>
      <c r="E139">
        <f t="shared" si="9"/>
        <v>19</v>
      </c>
      <c r="F139" t="str">
        <f t="shared" ref="F139:F144" si="10">+MID(B139,D139+1,E139-3)</f>
        <v>DOMITILA FLORES'</v>
      </c>
      <c r="G139" t="s">
        <v>439</v>
      </c>
    </row>
    <row r="140" spans="1:7">
      <c r="A140" t="s">
        <v>139</v>
      </c>
      <c r="B140" t="s">
        <v>301</v>
      </c>
      <c r="C140">
        <v>7</v>
      </c>
      <c r="D140">
        <f t="shared" si="8"/>
        <v>3</v>
      </c>
      <c r="E140">
        <f t="shared" si="9"/>
        <v>17</v>
      </c>
      <c r="F140" t="str">
        <f t="shared" si="10"/>
        <v>SAN FRANCISCO'</v>
      </c>
      <c r="G140" t="s">
        <v>440</v>
      </c>
    </row>
    <row r="141" spans="1:7">
      <c r="A141" t="s">
        <v>140</v>
      </c>
      <c r="B141" t="s">
        <v>302</v>
      </c>
      <c r="C141">
        <v>7</v>
      </c>
      <c r="D141">
        <f t="shared" si="8"/>
        <v>3</v>
      </c>
      <c r="E141">
        <f t="shared" si="9"/>
        <v>19</v>
      </c>
      <c r="F141" t="str">
        <f t="shared" si="10"/>
        <v>FRANCISCO OCHOA'</v>
      </c>
      <c r="G141" t="s">
        <v>441</v>
      </c>
    </row>
    <row r="142" spans="1:7">
      <c r="A142" t="s">
        <v>141</v>
      </c>
      <c r="B142" t="s">
        <v>303</v>
      </c>
      <c r="C142">
        <v>7</v>
      </c>
      <c r="D142">
        <f t="shared" si="8"/>
        <v>3</v>
      </c>
      <c r="E142">
        <f t="shared" si="9"/>
        <v>11</v>
      </c>
      <c r="F142" t="str">
        <f t="shared" si="10"/>
        <v>EL BAJO'</v>
      </c>
      <c r="G142" t="s">
        <v>393</v>
      </c>
    </row>
    <row r="143" spans="1:7">
      <c r="A143" t="s">
        <v>142</v>
      </c>
      <c r="B143" t="s">
        <v>304</v>
      </c>
      <c r="C143">
        <v>7</v>
      </c>
      <c r="D143">
        <f t="shared" si="8"/>
        <v>3</v>
      </c>
      <c r="E143">
        <f t="shared" si="9"/>
        <v>16</v>
      </c>
      <c r="F143" t="str">
        <f t="shared" si="10"/>
        <v>LOS CORTIJOS'</v>
      </c>
      <c r="G143" t="s">
        <v>442</v>
      </c>
    </row>
    <row r="144" spans="1:7">
      <c r="A144" t="s">
        <v>143</v>
      </c>
      <c r="B144" t="s">
        <v>305</v>
      </c>
      <c r="C144">
        <v>7</v>
      </c>
      <c r="D144">
        <f t="shared" si="8"/>
        <v>3</v>
      </c>
      <c r="E144">
        <f t="shared" si="9"/>
        <v>21</v>
      </c>
      <c r="F144" t="str">
        <f t="shared" si="10"/>
        <v>MARCIAL HERNANDEZ'</v>
      </c>
      <c r="G144" t="s">
        <v>443</v>
      </c>
    </row>
    <row r="145" spans="1:7">
      <c r="A145" t="s">
        <v>144</v>
      </c>
      <c r="B145" t="s">
        <v>306</v>
      </c>
      <c r="C145">
        <v>25</v>
      </c>
      <c r="D145">
        <f t="shared" si="8"/>
        <v>5</v>
      </c>
      <c r="E145">
        <f t="shared" si="9"/>
        <v>12</v>
      </c>
      <c r="F145" t="str">
        <f t="shared" ref="F145:F166" si="11">+MID(B145,D145+1,E145-5)</f>
        <v>VARIAS'</v>
      </c>
      <c r="G145" t="s">
        <v>345</v>
      </c>
    </row>
    <row r="146" spans="1:7">
      <c r="A146" t="s">
        <v>145</v>
      </c>
      <c r="B146" t="s">
        <v>307</v>
      </c>
      <c r="C146">
        <v>17</v>
      </c>
      <c r="D146">
        <f t="shared" si="8"/>
        <v>5</v>
      </c>
      <c r="E146">
        <f t="shared" si="9"/>
        <v>17</v>
      </c>
      <c r="F146" t="str">
        <f t="shared" si="11"/>
        <v>DESCONOCIDA'</v>
      </c>
      <c r="G146" t="s">
        <v>367</v>
      </c>
    </row>
    <row r="147" spans="1:7">
      <c r="A147" t="s">
        <v>146</v>
      </c>
      <c r="B147" t="s">
        <v>308</v>
      </c>
      <c r="C147">
        <v>12</v>
      </c>
      <c r="D147">
        <f t="shared" si="8"/>
        <v>5</v>
      </c>
      <c r="E147">
        <f t="shared" si="9"/>
        <v>17</v>
      </c>
      <c r="F147" t="str">
        <f t="shared" si="11"/>
        <v>DESCONOCIDA'</v>
      </c>
      <c r="G147" t="s">
        <v>367</v>
      </c>
    </row>
    <row r="148" spans="1:7">
      <c r="A148" t="s">
        <v>147</v>
      </c>
      <c r="B148" t="s">
        <v>309</v>
      </c>
      <c r="C148">
        <v>2</v>
      </c>
      <c r="D148">
        <f t="shared" si="8"/>
        <v>4</v>
      </c>
      <c r="E148">
        <f t="shared" si="9"/>
        <v>16</v>
      </c>
      <c r="F148" t="str">
        <f t="shared" si="11"/>
        <v>DESCONOCIDA</v>
      </c>
      <c r="G148" t="s">
        <v>367</v>
      </c>
    </row>
    <row r="149" spans="1:7">
      <c r="A149" t="s">
        <v>148</v>
      </c>
      <c r="B149" t="s">
        <v>310</v>
      </c>
      <c r="C149">
        <v>6</v>
      </c>
      <c r="D149">
        <f t="shared" si="8"/>
        <v>4</v>
      </c>
      <c r="E149">
        <f t="shared" si="9"/>
        <v>16</v>
      </c>
      <c r="F149" t="str">
        <f t="shared" si="11"/>
        <v>DESCONOCIDA</v>
      </c>
      <c r="G149" t="s">
        <v>367</v>
      </c>
    </row>
    <row r="150" spans="1:7">
      <c r="A150" t="s">
        <v>149</v>
      </c>
      <c r="B150" t="s">
        <v>311</v>
      </c>
      <c r="C150">
        <v>5</v>
      </c>
      <c r="D150">
        <f t="shared" si="8"/>
        <v>4</v>
      </c>
      <c r="E150">
        <f t="shared" si="9"/>
        <v>16</v>
      </c>
      <c r="F150" t="str">
        <f t="shared" si="11"/>
        <v>DESCONOCIDA</v>
      </c>
      <c r="G150" t="s">
        <v>367</v>
      </c>
    </row>
    <row r="151" spans="1:7">
      <c r="A151" t="s">
        <v>150</v>
      </c>
      <c r="B151" t="s">
        <v>312</v>
      </c>
      <c r="C151">
        <v>8</v>
      </c>
      <c r="D151">
        <f t="shared" si="8"/>
        <v>4</v>
      </c>
      <c r="E151">
        <f t="shared" si="9"/>
        <v>16</v>
      </c>
      <c r="F151" t="str">
        <f t="shared" si="11"/>
        <v>DESCONOCIDA</v>
      </c>
      <c r="G151" t="s">
        <v>367</v>
      </c>
    </row>
    <row r="152" spans="1:7">
      <c r="A152" t="s">
        <v>151</v>
      </c>
      <c r="B152" t="s">
        <v>313</v>
      </c>
      <c r="C152">
        <v>9</v>
      </c>
      <c r="D152">
        <f t="shared" si="8"/>
        <v>4</v>
      </c>
      <c r="E152">
        <f t="shared" si="9"/>
        <v>16</v>
      </c>
      <c r="F152" t="str">
        <f t="shared" si="11"/>
        <v>DESCONOCIDA</v>
      </c>
      <c r="G152" t="s">
        <v>367</v>
      </c>
    </row>
    <row r="153" spans="1:7">
      <c r="A153" t="s">
        <v>152</v>
      </c>
      <c r="B153" t="s">
        <v>314</v>
      </c>
      <c r="C153">
        <v>10</v>
      </c>
      <c r="D153">
        <f t="shared" si="8"/>
        <v>5</v>
      </c>
      <c r="E153">
        <f t="shared" si="9"/>
        <v>17</v>
      </c>
      <c r="F153" t="str">
        <f t="shared" si="11"/>
        <v>DESCONOCIDA'</v>
      </c>
      <c r="G153" t="s">
        <v>367</v>
      </c>
    </row>
    <row r="154" spans="1:7">
      <c r="A154" t="s">
        <v>153</v>
      </c>
      <c r="B154" t="s">
        <v>315</v>
      </c>
      <c r="C154">
        <v>11</v>
      </c>
      <c r="D154">
        <f t="shared" si="8"/>
        <v>5</v>
      </c>
      <c r="E154">
        <f t="shared" si="9"/>
        <v>17</v>
      </c>
      <c r="F154" t="str">
        <f t="shared" si="11"/>
        <v>DESCONOCIDA'</v>
      </c>
      <c r="G154" t="s">
        <v>367</v>
      </c>
    </row>
    <row r="155" spans="1:7">
      <c r="A155" t="s">
        <v>154</v>
      </c>
      <c r="B155" t="s">
        <v>316</v>
      </c>
      <c r="C155">
        <v>16</v>
      </c>
      <c r="D155">
        <f t="shared" si="8"/>
        <v>5</v>
      </c>
      <c r="E155">
        <f t="shared" si="9"/>
        <v>17</v>
      </c>
      <c r="F155" t="str">
        <f t="shared" si="11"/>
        <v>DESCONOCIDA'</v>
      </c>
      <c r="G155" t="s">
        <v>367</v>
      </c>
    </row>
    <row r="156" spans="1:7">
      <c r="A156" t="s">
        <v>155</v>
      </c>
      <c r="B156" t="s">
        <v>317</v>
      </c>
      <c r="C156">
        <v>9</v>
      </c>
      <c r="D156">
        <f t="shared" si="8"/>
        <v>4</v>
      </c>
      <c r="E156">
        <f t="shared" si="9"/>
        <v>19</v>
      </c>
      <c r="F156" t="str">
        <f t="shared" si="11"/>
        <v>SIXTO ZAMBRANO</v>
      </c>
      <c r="G156" t="s">
        <v>368</v>
      </c>
    </row>
    <row r="157" spans="1:7">
      <c r="A157" t="s">
        <v>156</v>
      </c>
      <c r="B157" t="s">
        <v>318</v>
      </c>
      <c r="C157">
        <v>9</v>
      </c>
      <c r="D157">
        <f t="shared" si="8"/>
        <v>4</v>
      </c>
      <c r="E157">
        <f t="shared" si="9"/>
        <v>25</v>
      </c>
      <c r="F157" t="str">
        <f t="shared" si="11"/>
        <v>LA VILLA DEL ROSARIO</v>
      </c>
      <c r="G157" t="s">
        <v>369</v>
      </c>
    </row>
    <row r="158" spans="1:7">
      <c r="A158" t="s">
        <v>157</v>
      </c>
      <c r="B158" t="s">
        <v>319</v>
      </c>
      <c r="C158">
        <v>15</v>
      </c>
      <c r="D158">
        <f t="shared" si="8"/>
        <v>4</v>
      </c>
      <c r="E158">
        <f t="shared" si="9"/>
        <v>13</v>
      </c>
      <c r="F158" t="str">
        <f t="shared" si="11"/>
        <v>AMBROSIO</v>
      </c>
      <c r="G158" t="s">
        <v>370</v>
      </c>
    </row>
    <row r="159" spans="1:7">
      <c r="A159" t="s">
        <v>158</v>
      </c>
      <c r="B159" t="s">
        <v>320</v>
      </c>
      <c r="C159">
        <v>15</v>
      </c>
      <c r="D159">
        <f t="shared" si="8"/>
        <v>4</v>
      </c>
      <c r="E159">
        <f t="shared" si="9"/>
        <v>20</v>
      </c>
      <c r="F159" t="str">
        <f t="shared" si="11"/>
        <v>JORGE HERNANDEZ</v>
      </c>
      <c r="G159" t="s">
        <v>371</v>
      </c>
    </row>
    <row r="160" spans="1:7">
      <c r="A160" t="s">
        <v>159</v>
      </c>
      <c r="B160" t="s">
        <v>321</v>
      </c>
      <c r="C160">
        <v>15</v>
      </c>
      <c r="D160">
        <f t="shared" si="8"/>
        <v>4</v>
      </c>
      <c r="E160">
        <f t="shared" si="9"/>
        <v>24</v>
      </c>
      <c r="F160" t="str">
        <f t="shared" si="11"/>
        <v>GERMAN RIOS LINARES</v>
      </c>
      <c r="G160" t="s">
        <v>372</v>
      </c>
    </row>
    <row r="161" spans="1:7">
      <c r="A161" t="s">
        <v>160</v>
      </c>
      <c r="B161" t="s">
        <v>322</v>
      </c>
      <c r="C161">
        <v>15</v>
      </c>
      <c r="D161">
        <f t="shared" si="8"/>
        <v>4</v>
      </c>
      <c r="E161">
        <f t="shared" si="9"/>
        <v>19</v>
      </c>
      <c r="F161" t="str">
        <f t="shared" si="11"/>
        <v>CARMEN HERRERA</v>
      </c>
      <c r="G161" t="s">
        <v>373</v>
      </c>
    </row>
    <row r="162" spans="1:7">
      <c r="A162" t="s">
        <v>161</v>
      </c>
      <c r="B162" t="s">
        <v>323</v>
      </c>
      <c r="C162">
        <v>15</v>
      </c>
      <c r="D162">
        <f t="shared" si="8"/>
        <v>4</v>
      </c>
      <c r="E162">
        <f t="shared" si="9"/>
        <v>22</v>
      </c>
      <c r="F162" t="str">
        <f t="shared" si="11"/>
        <v>ARISTIDES CALVANI</v>
      </c>
      <c r="G162" t="s">
        <v>374</v>
      </c>
    </row>
    <row r="163" spans="1:7">
      <c r="A163" t="s">
        <v>162</v>
      </c>
      <c r="B163" t="s">
        <v>324</v>
      </c>
      <c r="C163">
        <v>15</v>
      </c>
      <c r="D163">
        <f t="shared" si="8"/>
        <v>5</v>
      </c>
      <c r="E163">
        <f t="shared" si="9"/>
        <v>13</v>
      </c>
      <c r="F163" t="str">
        <f t="shared" si="11"/>
        <v>LA ROSA'</v>
      </c>
      <c r="G163" t="s">
        <v>444</v>
      </c>
    </row>
    <row r="164" spans="1:7">
      <c r="A164" t="s">
        <v>163</v>
      </c>
      <c r="B164" t="s">
        <v>325</v>
      </c>
      <c r="C164">
        <v>15</v>
      </c>
      <c r="D164">
        <f t="shared" si="8"/>
        <v>5</v>
      </c>
      <c r="E164">
        <f t="shared" si="9"/>
        <v>16</v>
      </c>
      <c r="F164" t="str">
        <f t="shared" si="11"/>
        <v>SAN BENITO'</v>
      </c>
      <c r="G164" t="s">
        <v>445</v>
      </c>
    </row>
    <row r="165" spans="1:7">
      <c r="A165" t="s">
        <v>164</v>
      </c>
      <c r="B165" t="s">
        <v>326</v>
      </c>
      <c r="C165">
        <v>15</v>
      </c>
      <c r="D165">
        <f t="shared" si="8"/>
        <v>5</v>
      </c>
      <c r="E165">
        <f t="shared" si="9"/>
        <v>23</v>
      </c>
      <c r="F165" t="str">
        <f t="shared" si="11"/>
        <v>ROMULO BETANCOURT'</v>
      </c>
      <c r="G165" t="s">
        <v>446</v>
      </c>
    </row>
    <row r="166" spans="1:7">
      <c r="A166" t="s">
        <v>165</v>
      </c>
      <c r="B166" t="s">
        <v>327</v>
      </c>
      <c r="C166">
        <v>15</v>
      </c>
      <c r="D166">
        <f t="shared" si="8"/>
        <v>5</v>
      </c>
      <c r="E166">
        <f t="shared" si="9"/>
        <v>17</v>
      </c>
      <c r="F166" t="str">
        <f t="shared" si="11"/>
        <v>PUNTA GORDA'</v>
      </c>
      <c r="G166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>
      <selection activeCell="C4" sqref="C4"/>
    </sheetView>
  </sheetViews>
  <sheetFormatPr baseColWidth="10" defaultRowHeight="15"/>
  <cols>
    <col min="1" max="1" width="17.85546875" bestFit="1" customWidth="1"/>
    <col min="2" max="2" width="32.7109375" bestFit="1" customWidth="1"/>
    <col min="3" max="3" width="20.7109375" bestFit="1" customWidth="1"/>
  </cols>
  <sheetData>
    <row r="1" spans="1:3">
      <c r="A1" t="s">
        <v>448</v>
      </c>
      <c r="B1" t="s">
        <v>449</v>
      </c>
      <c r="C1" t="s">
        <v>450</v>
      </c>
    </row>
    <row r="2" spans="1:3">
      <c r="A2">
        <v>1</v>
      </c>
      <c r="B2" t="s">
        <v>328</v>
      </c>
      <c r="C2">
        <v>1</v>
      </c>
    </row>
    <row r="3" spans="1:3">
      <c r="A3">
        <v>1</v>
      </c>
      <c r="B3" t="s">
        <v>329</v>
      </c>
      <c r="C3">
        <v>1</v>
      </c>
    </row>
    <row r="4" spans="1:3">
      <c r="A4">
        <v>1</v>
      </c>
      <c r="B4" t="s">
        <v>330</v>
      </c>
      <c r="C4">
        <v>1</v>
      </c>
    </row>
    <row r="5" spans="1:3">
      <c r="A5">
        <v>1</v>
      </c>
      <c r="B5" t="s">
        <v>331</v>
      </c>
      <c r="C5">
        <v>1</v>
      </c>
    </row>
    <row r="6" spans="1:3">
      <c r="A6">
        <v>1</v>
      </c>
      <c r="B6" t="s">
        <v>332</v>
      </c>
      <c r="C6">
        <v>1</v>
      </c>
    </row>
    <row r="7" spans="1:3">
      <c r="A7">
        <v>1</v>
      </c>
      <c r="B7" t="s">
        <v>375</v>
      </c>
      <c r="C7">
        <v>1</v>
      </c>
    </row>
    <row r="8" spans="1:3">
      <c r="A8">
        <v>1</v>
      </c>
      <c r="B8" t="s">
        <v>376</v>
      </c>
      <c r="C8">
        <v>1</v>
      </c>
    </row>
    <row r="9" spans="1:3">
      <c r="A9">
        <v>1</v>
      </c>
      <c r="B9" t="s">
        <v>377</v>
      </c>
      <c r="C9">
        <v>1</v>
      </c>
    </row>
    <row r="10" spans="1:3">
      <c r="A10">
        <v>1</v>
      </c>
      <c r="B10" t="s">
        <v>378</v>
      </c>
      <c r="C10">
        <v>1</v>
      </c>
    </row>
    <row r="11" spans="1:3">
      <c r="A11">
        <v>1</v>
      </c>
      <c r="B11" t="s">
        <v>379</v>
      </c>
      <c r="C11">
        <v>1</v>
      </c>
    </row>
    <row r="12" spans="1:3">
      <c r="A12">
        <v>1</v>
      </c>
      <c r="B12" t="s">
        <v>380</v>
      </c>
      <c r="C12">
        <v>1</v>
      </c>
    </row>
    <row r="13" spans="1:3">
      <c r="A13">
        <v>1</v>
      </c>
      <c r="B13" t="s">
        <v>381</v>
      </c>
      <c r="C13">
        <v>1</v>
      </c>
    </row>
    <row r="14" spans="1:3">
      <c r="A14">
        <v>1</v>
      </c>
      <c r="B14" t="s">
        <v>333</v>
      </c>
      <c r="C14">
        <v>1</v>
      </c>
    </row>
    <row r="15" spans="1:3">
      <c r="A15">
        <v>1</v>
      </c>
      <c r="B15" t="s">
        <v>334</v>
      </c>
      <c r="C15">
        <v>1</v>
      </c>
    </row>
    <row r="16" spans="1:3">
      <c r="A16">
        <v>1</v>
      </c>
      <c r="B16" t="s">
        <v>382</v>
      </c>
      <c r="C16">
        <v>1</v>
      </c>
    </row>
    <row r="17" spans="1:3">
      <c r="A17">
        <v>1</v>
      </c>
      <c r="B17" t="s">
        <v>335</v>
      </c>
      <c r="C17">
        <v>1</v>
      </c>
    </row>
    <row r="18" spans="1:3">
      <c r="A18">
        <v>1</v>
      </c>
      <c r="B18" t="s">
        <v>336</v>
      </c>
      <c r="C18">
        <v>1</v>
      </c>
    </row>
    <row r="19" spans="1:3">
      <c r="A19">
        <v>1</v>
      </c>
      <c r="B19" t="s">
        <v>345</v>
      </c>
      <c r="C19">
        <v>1</v>
      </c>
    </row>
    <row r="20" spans="1:3">
      <c r="A20">
        <v>1</v>
      </c>
      <c r="B20" t="s">
        <v>367</v>
      </c>
      <c r="C20">
        <v>1</v>
      </c>
    </row>
    <row r="21" spans="1:3">
      <c r="A21">
        <v>1</v>
      </c>
      <c r="B21" t="s">
        <v>383</v>
      </c>
      <c r="C21">
        <v>1</v>
      </c>
    </row>
    <row r="22" spans="1:3">
      <c r="A22">
        <v>7</v>
      </c>
      <c r="B22" t="s">
        <v>345</v>
      </c>
      <c r="C22">
        <v>1</v>
      </c>
    </row>
    <row r="23" spans="1:3">
      <c r="A23">
        <v>5</v>
      </c>
      <c r="B23" t="s">
        <v>384</v>
      </c>
      <c r="C23">
        <v>1</v>
      </c>
    </row>
    <row r="24" spans="1:3">
      <c r="A24">
        <v>5</v>
      </c>
      <c r="B24" t="s">
        <v>385</v>
      </c>
      <c r="C24">
        <v>1</v>
      </c>
    </row>
    <row r="25" spans="1:3">
      <c r="A25">
        <v>5</v>
      </c>
      <c r="B25" t="s">
        <v>386</v>
      </c>
      <c r="C25">
        <v>1</v>
      </c>
    </row>
    <row r="26" spans="1:3">
      <c r="A26">
        <v>5</v>
      </c>
      <c r="B26" t="s">
        <v>387</v>
      </c>
      <c r="C26">
        <v>1</v>
      </c>
    </row>
    <row r="27" spans="1:3">
      <c r="A27">
        <v>5</v>
      </c>
      <c r="B27" t="s">
        <v>388</v>
      </c>
      <c r="C27">
        <v>1</v>
      </c>
    </row>
    <row r="28" spans="1:3">
      <c r="A28">
        <v>6</v>
      </c>
      <c r="B28" t="s">
        <v>389</v>
      </c>
      <c r="C28">
        <v>1</v>
      </c>
    </row>
    <row r="29" spans="1:3">
      <c r="A29">
        <v>6</v>
      </c>
      <c r="B29" t="s">
        <v>390</v>
      </c>
      <c r="C29">
        <v>1</v>
      </c>
    </row>
    <row r="30" spans="1:3">
      <c r="A30">
        <v>6</v>
      </c>
      <c r="B30" t="s">
        <v>391</v>
      </c>
      <c r="C30">
        <v>1</v>
      </c>
    </row>
    <row r="31" spans="1:3">
      <c r="A31">
        <v>6</v>
      </c>
      <c r="B31" t="s">
        <v>381</v>
      </c>
      <c r="C31">
        <v>1</v>
      </c>
    </row>
    <row r="32" spans="1:3">
      <c r="A32">
        <v>6</v>
      </c>
      <c r="B32" t="s">
        <v>392</v>
      </c>
      <c r="C32">
        <v>1</v>
      </c>
    </row>
    <row r="33" spans="1:3">
      <c r="A33">
        <v>6</v>
      </c>
      <c r="B33" t="s">
        <v>393</v>
      </c>
      <c r="C33">
        <v>1</v>
      </c>
    </row>
    <row r="34" spans="1:3">
      <c r="A34">
        <v>6</v>
      </c>
      <c r="B34" t="s">
        <v>385</v>
      </c>
      <c r="C34">
        <v>1</v>
      </c>
    </row>
    <row r="35" spans="1:3">
      <c r="A35">
        <v>5</v>
      </c>
      <c r="B35" t="s">
        <v>367</v>
      </c>
      <c r="C35">
        <v>1</v>
      </c>
    </row>
    <row r="36" spans="1:3">
      <c r="A36">
        <v>6</v>
      </c>
      <c r="B36" t="s">
        <v>367</v>
      </c>
      <c r="C36">
        <v>1</v>
      </c>
    </row>
    <row r="37" spans="1:3">
      <c r="A37">
        <v>5</v>
      </c>
      <c r="B37" t="s">
        <v>394</v>
      </c>
      <c r="C37">
        <v>1</v>
      </c>
    </row>
    <row r="38" spans="1:3">
      <c r="A38">
        <v>5</v>
      </c>
      <c r="B38" t="s">
        <v>395</v>
      </c>
      <c r="C38">
        <v>1</v>
      </c>
    </row>
    <row r="39" spans="1:3">
      <c r="A39">
        <v>7</v>
      </c>
      <c r="B39" t="s">
        <v>367</v>
      </c>
      <c r="C39">
        <v>1</v>
      </c>
    </row>
    <row r="40" spans="1:3">
      <c r="A40">
        <v>6</v>
      </c>
      <c r="B40" t="s">
        <v>396</v>
      </c>
      <c r="C40">
        <v>1</v>
      </c>
    </row>
    <row r="41" spans="1:3">
      <c r="A41">
        <v>6</v>
      </c>
      <c r="B41" t="s">
        <v>397</v>
      </c>
      <c r="C41">
        <v>1</v>
      </c>
    </row>
    <row r="42" spans="1:3">
      <c r="A42">
        <v>21</v>
      </c>
      <c r="B42" t="s">
        <v>337</v>
      </c>
      <c r="C42">
        <v>1</v>
      </c>
    </row>
    <row r="43" spans="1:3">
      <c r="A43">
        <v>15</v>
      </c>
      <c r="B43" t="s">
        <v>345</v>
      </c>
      <c r="C43">
        <v>1</v>
      </c>
    </row>
    <row r="44" spans="1:3">
      <c r="A44">
        <v>20</v>
      </c>
      <c r="B44" t="s">
        <v>398</v>
      </c>
      <c r="C44">
        <v>1</v>
      </c>
    </row>
    <row r="45" spans="1:3">
      <c r="A45">
        <v>21</v>
      </c>
      <c r="B45" t="s">
        <v>399</v>
      </c>
      <c r="C45">
        <v>1</v>
      </c>
    </row>
    <row r="46" spans="1:3">
      <c r="A46">
        <v>21</v>
      </c>
      <c r="B46" t="s">
        <v>386</v>
      </c>
      <c r="C46">
        <v>1</v>
      </c>
    </row>
    <row r="47" spans="1:3">
      <c r="A47">
        <v>20</v>
      </c>
      <c r="B47" t="s">
        <v>400</v>
      </c>
      <c r="C47">
        <v>1</v>
      </c>
    </row>
    <row r="48" spans="1:3">
      <c r="A48">
        <v>20</v>
      </c>
      <c r="B48" t="s">
        <v>401</v>
      </c>
      <c r="C48">
        <v>1</v>
      </c>
    </row>
    <row r="49" spans="1:3">
      <c r="A49">
        <v>20</v>
      </c>
      <c r="B49" t="s">
        <v>402</v>
      </c>
      <c r="C49">
        <v>1</v>
      </c>
    </row>
    <row r="50" spans="1:3">
      <c r="A50">
        <v>21</v>
      </c>
      <c r="B50" t="s">
        <v>345</v>
      </c>
      <c r="C50">
        <v>1</v>
      </c>
    </row>
    <row r="51" spans="1:3">
      <c r="A51">
        <v>20</v>
      </c>
      <c r="B51" t="s">
        <v>363</v>
      </c>
      <c r="C51">
        <v>1</v>
      </c>
    </row>
    <row r="52" spans="1:3">
      <c r="A52">
        <v>21</v>
      </c>
      <c r="B52" t="s">
        <v>403</v>
      </c>
      <c r="C52">
        <v>1</v>
      </c>
    </row>
    <row r="53" spans="1:3">
      <c r="A53">
        <v>21</v>
      </c>
      <c r="B53" t="s">
        <v>404</v>
      </c>
      <c r="C53">
        <v>1</v>
      </c>
    </row>
    <row r="54" spans="1:3">
      <c r="A54">
        <v>15</v>
      </c>
      <c r="B54" t="s">
        <v>367</v>
      </c>
      <c r="C54">
        <v>1</v>
      </c>
    </row>
    <row r="55" spans="1:3">
      <c r="A55">
        <v>21</v>
      </c>
      <c r="B55" t="s">
        <v>367</v>
      </c>
      <c r="C55">
        <v>1</v>
      </c>
    </row>
    <row r="56" spans="1:3">
      <c r="A56">
        <v>20</v>
      </c>
      <c r="B56" t="s">
        <v>367</v>
      </c>
      <c r="C56">
        <v>1</v>
      </c>
    </row>
    <row r="57" spans="1:3">
      <c r="A57">
        <v>13</v>
      </c>
      <c r="B57" t="s">
        <v>405</v>
      </c>
      <c r="C57">
        <v>1</v>
      </c>
    </row>
    <row r="58" spans="1:3">
      <c r="A58">
        <v>13</v>
      </c>
      <c r="B58" t="s">
        <v>406</v>
      </c>
      <c r="C58">
        <v>1</v>
      </c>
    </row>
    <row r="59" spans="1:3">
      <c r="A59">
        <v>13</v>
      </c>
      <c r="B59" t="s">
        <v>407</v>
      </c>
      <c r="C59">
        <v>1</v>
      </c>
    </row>
    <row r="60" spans="1:3">
      <c r="A60">
        <v>13</v>
      </c>
      <c r="B60" t="s">
        <v>408</v>
      </c>
      <c r="C60">
        <v>1</v>
      </c>
    </row>
    <row r="61" spans="1:3">
      <c r="A61">
        <v>13</v>
      </c>
      <c r="B61" t="s">
        <v>409</v>
      </c>
      <c r="C61">
        <v>1</v>
      </c>
    </row>
    <row r="62" spans="1:3">
      <c r="A62">
        <v>13</v>
      </c>
      <c r="B62" t="s">
        <v>410</v>
      </c>
      <c r="C62">
        <v>1</v>
      </c>
    </row>
    <row r="63" spans="1:3">
      <c r="A63">
        <v>13</v>
      </c>
      <c r="B63" t="s">
        <v>363</v>
      </c>
      <c r="C63">
        <v>1</v>
      </c>
    </row>
    <row r="64" spans="1:3">
      <c r="A64">
        <v>19</v>
      </c>
      <c r="B64" t="s">
        <v>411</v>
      </c>
      <c r="C64">
        <v>1</v>
      </c>
    </row>
    <row r="65" spans="1:3">
      <c r="A65">
        <v>19</v>
      </c>
      <c r="B65" t="s">
        <v>412</v>
      </c>
      <c r="C65">
        <v>1</v>
      </c>
    </row>
    <row r="66" spans="1:3">
      <c r="A66">
        <v>19</v>
      </c>
      <c r="B66" t="s">
        <v>413</v>
      </c>
      <c r="C66">
        <v>1</v>
      </c>
    </row>
    <row r="67" spans="1:3">
      <c r="A67">
        <v>14</v>
      </c>
      <c r="B67" t="s">
        <v>414</v>
      </c>
      <c r="C67">
        <v>1</v>
      </c>
    </row>
    <row r="68" spans="1:3">
      <c r="A68">
        <v>14</v>
      </c>
      <c r="B68" t="s">
        <v>415</v>
      </c>
      <c r="C68">
        <v>1</v>
      </c>
    </row>
    <row r="69" spans="1:3">
      <c r="A69">
        <v>14</v>
      </c>
      <c r="B69" t="s">
        <v>345</v>
      </c>
      <c r="C69">
        <v>1</v>
      </c>
    </row>
    <row r="70" spans="1:3">
      <c r="A70">
        <v>14</v>
      </c>
      <c r="B70" t="s">
        <v>413</v>
      </c>
      <c r="C70">
        <v>1</v>
      </c>
    </row>
    <row r="71" spans="1:3">
      <c r="A71">
        <v>14</v>
      </c>
      <c r="B71" t="s">
        <v>363</v>
      </c>
      <c r="C71">
        <v>1</v>
      </c>
    </row>
    <row r="72" spans="1:3">
      <c r="A72">
        <v>13</v>
      </c>
      <c r="B72" t="s">
        <v>367</v>
      </c>
      <c r="C72">
        <v>1</v>
      </c>
    </row>
    <row r="73" spans="1:3">
      <c r="A73">
        <v>18</v>
      </c>
      <c r="B73" t="s">
        <v>360</v>
      </c>
      <c r="C73">
        <v>1</v>
      </c>
    </row>
    <row r="74" spans="1:3">
      <c r="A74">
        <v>18</v>
      </c>
      <c r="B74" t="s">
        <v>367</v>
      </c>
      <c r="C74">
        <v>1</v>
      </c>
    </row>
    <row r="75" spans="1:3">
      <c r="A75">
        <v>18</v>
      </c>
      <c r="B75" t="s">
        <v>416</v>
      </c>
      <c r="C75">
        <v>1</v>
      </c>
    </row>
    <row r="76" spans="1:3">
      <c r="A76">
        <v>18</v>
      </c>
      <c r="B76" t="s">
        <v>417</v>
      </c>
      <c r="C76">
        <v>1</v>
      </c>
    </row>
    <row r="77" spans="1:3">
      <c r="A77">
        <v>18</v>
      </c>
      <c r="B77" t="s">
        <v>418</v>
      </c>
      <c r="C77">
        <v>1</v>
      </c>
    </row>
    <row r="78" spans="1:3">
      <c r="A78">
        <v>18</v>
      </c>
      <c r="B78" t="s">
        <v>419</v>
      </c>
      <c r="C78">
        <v>1</v>
      </c>
    </row>
    <row r="79" spans="1:3">
      <c r="A79">
        <v>18</v>
      </c>
      <c r="B79" t="s">
        <v>420</v>
      </c>
      <c r="C79">
        <v>1</v>
      </c>
    </row>
    <row r="80" spans="1:3">
      <c r="A80">
        <v>18</v>
      </c>
      <c r="B80" t="s">
        <v>421</v>
      </c>
      <c r="C80">
        <v>1</v>
      </c>
    </row>
    <row r="81" spans="1:3">
      <c r="A81">
        <v>18</v>
      </c>
      <c r="B81" t="s">
        <v>345</v>
      </c>
      <c r="C81">
        <v>1</v>
      </c>
    </row>
    <row r="82" spans="1:3">
      <c r="A82">
        <v>18</v>
      </c>
      <c r="B82" t="s">
        <v>338</v>
      </c>
      <c r="C82">
        <v>1</v>
      </c>
    </row>
    <row r="83" spans="1:3">
      <c r="A83">
        <v>14</v>
      </c>
      <c r="B83" t="s">
        <v>367</v>
      </c>
      <c r="C83">
        <v>1</v>
      </c>
    </row>
    <row r="84" spans="1:3">
      <c r="A84">
        <v>19</v>
      </c>
      <c r="B84" t="s">
        <v>367</v>
      </c>
      <c r="C84">
        <v>1</v>
      </c>
    </row>
    <row r="85" spans="1:3">
      <c r="A85">
        <v>9</v>
      </c>
      <c r="B85" t="s">
        <v>339</v>
      </c>
      <c r="C85">
        <v>1</v>
      </c>
    </row>
    <row r="86" spans="1:3">
      <c r="A86">
        <v>16</v>
      </c>
      <c r="B86" t="s">
        <v>422</v>
      </c>
      <c r="C86">
        <v>1</v>
      </c>
    </row>
    <row r="87" spans="1:3">
      <c r="A87">
        <v>3</v>
      </c>
      <c r="B87" t="s">
        <v>340</v>
      </c>
      <c r="C87">
        <v>1</v>
      </c>
    </row>
    <row r="88" spans="1:3">
      <c r="A88">
        <v>3</v>
      </c>
      <c r="B88" t="s">
        <v>341</v>
      </c>
      <c r="C88">
        <v>1</v>
      </c>
    </row>
    <row r="89" spans="1:3">
      <c r="A89">
        <v>3</v>
      </c>
      <c r="B89" t="s">
        <v>342</v>
      </c>
      <c r="C89">
        <v>1</v>
      </c>
    </row>
    <row r="90" spans="1:3">
      <c r="A90">
        <v>3</v>
      </c>
      <c r="B90" t="s">
        <v>343</v>
      </c>
      <c r="C90">
        <v>1</v>
      </c>
    </row>
    <row r="91" spans="1:3">
      <c r="A91">
        <v>4</v>
      </c>
      <c r="B91" t="s">
        <v>344</v>
      </c>
      <c r="C91">
        <v>1</v>
      </c>
    </row>
    <row r="92" spans="1:3">
      <c r="A92">
        <v>5</v>
      </c>
      <c r="B92" t="s">
        <v>345</v>
      </c>
      <c r="C92">
        <v>1</v>
      </c>
    </row>
    <row r="93" spans="1:3">
      <c r="A93">
        <v>7</v>
      </c>
      <c r="B93" t="s">
        <v>346</v>
      </c>
      <c r="C93">
        <v>1</v>
      </c>
    </row>
    <row r="94" spans="1:3">
      <c r="A94">
        <v>8</v>
      </c>
      <c r="B94" t="s">
        <v>347</v>
      </c>
      <c r="C94">
        <v>1</v>
      </c>
    </row>
    <row r="95" spans="1:3">
      <c r="A95">
        <v>8</v>
      </c>
      <c r="B95" t="s">
        <v>348</v>
      </c>
      <c r="C95">
        <v>1</v>
      </c>
    </row>
    <row r="96" spans="1:3">
      <c r="A96">
        <v>4</v>
      </c>
      <c r="B96" t="s">
        <v>349</v>
      </c>
      <c r="C96">
        <v>1</v>
      </c>
    </row>
    <row r="97" spans="1:3">
      <c r="A97">
        <v>5</v>
      </c>
      <c r="B97" t="s">
        <v>350</v>
      </c>
      <c r="C97">
        <v>1</v>
      </c>
    </row>
    <row r="98" spans="1:3">
      <c r="A98">
        <v>7</v>
      </c>
      <c r="B98" t="s">
        <v>351</v>
      </c>
      <c r="C98">
        <v>1</v>
      </c>
    </row>
    <row r="99" spans="1:3">
      <c r="A99">
        <v>8</v>
      </c>
      <c r="B99" t="s">
        <v>352</v>
      </c>
      <c r="C99">
        <v>1</v>
      </c>
    </row>
    <row r="100" spans="1:3">
      <c r="A100">
        <v>8</v>
      </c>
      <c r="B100" t="s">
        <v>353</v>
      </c>
      <c r="C100">
        <v>1</v>
      </c>
    </row>
    <row r="101" spans="1:3">
      <c r="A101">
        <v>8</v>
      </c>
      <c r="B101" t="s">
        <v>354</v>
      </c>
      <c r="C101">
        <v>1</v>
      </c>
    </row>
    <row r="102" spans="1:3">
      <c r="A102">
        <v>8</v>
      </c>
      <c r="B102" t="s">
        <v>345</v>
      </c>
      <c r="C102">
        <v>1</v>
      </c>
    </row>
    <row r="103" spans="1:3">
      <c r="A103">
        <v>16</v>
      </c>
      <c r="B103" t="s">
        <v>423</v>
      </c>
      <c r="C103">
        <v>1</v>
      </c>
    </row>
    <row r="104" spans="1:3">
      <c r="A104">
        <v>16</v>
      </c>
      <c r="B104" t="s">
        <v>345</v>
      </c>
      <c r="C104">
        <v>1</v>
      </c>
    </row>
    <row r="105" spans="1:3">
      <c r="A105">
        <v>9</v>
      </c>
      <c r="B105" t="s">
        <v>355</v>
      </c>
      <c r="C105">
        <v>1</v>
      </c>
    </row>
    <row r="106" spans="1:3">
      <c r="A106">
        <v>9</v>
      </c>
      <c r="B106" t="s">
        <v>356</v>
      </c>
      <c r="C106">
        <v>1</v>
      </c>
    </row>
    <row r="107" spans="1:3">
      <c r="A107">
        <v>8</v>
      </c>
      <c r="B107" t="s">
        <v>357</v>
      </c>
      <c r="C107">
        <v>1</v>
      </c>
    </row>
    <row r="108" spans="1:3">
      <c r="A108">
        <v>8</v>
      </c>
      <c r="B108" t="s">
        <v>358</v>
      </c>
      <c r="C108">
        <v>1</v>
      </c>
    </row>
    <row r="109" spans="1:3">
      <c r="A109">
        <v>8</v>
      </c>
      <c r="B109" t="s">
        <v>359</v>
      </c>
      <c r="C109">
        <v>1</v>
      </c>
    </row>
    <row r="110" spans="1:3">
      <c r="A110">
        <v>4</v>
      </c>
      <c r="B110" t="s">
        <v>360</v>
      </c>
      <c r="C110">
        <v>1</v>
      </c>
    </row>
    <row r="111" spans="1:3">
      <c r="A111">
        <v>4</v>
      </c>
      <c r="B111" t="s">
        <v>361</v>
      </c>
      <c r="C111">
        <v>1</v>
      </c>
    </row>
    <row r="112" spans="1:3">
      <c r="A112">
        <v>3</v>
      </c>
      <c r="B112" t="s">
        <v>362</v>
      </c>
      <c r="C112">
        <v>1</v>
      </c>
    </row>
    <row r="113" spans="1:3">
      <c r="A113">
        <v>2</v>
      </c>
      <c r="B113" t="s">
        <v>363</v>
      </c>
      <c r="C113">
        <v>1</v>
      </c>
    </row>
    <row r="114" spans="1:3">
      <c r="A114">
        <v>17</v>
      </c>
      <c r="B114" t="s">
        <v>424</v>
      </c>
      <c r="C114">
        <v>1</v>
      </c>
    </row>
    <row r="115" spans="1:3">
      <c r="A115">
        <v>17</v>
      </c>
      <c r="B115" t="s">
        <v>425</v>
      </c>
      <c r="C115">
        <v>1</v>
      </c>
    </row>
    <row r="116" spans="1:3">
      <c r="A116">
        <v>17</v>
      </c>
      <c r="B116" t="s">
        <v>426</v>
      </c>
      <c r="C116">
        <v>1</v>
      </c>
    </row>
    <row r="117" spans="1:3">
      <c r="A117">
        <v>17</v>
      </c>
      <c r="B117" t="s">
        <v>427</v>
      </c>
      <c r="C117">
        <v>1</v>
      </c>
    </row>
    <row r="118" spans="1:3">
      <c r="A118">
        <v>17</v>
      </c>
      <c r="B118" t="s">
        <v>428</v>
      </c>
      <c r="C118">
        <v>1</v>
      </c>
    </row>
    <row r="119" spans="1:3">
      <c r="A119">
        <v>17</v>
      </c>
      <c r="B119" t="s">
        <v>345</v>
      </c>
      <c r="C119">
        <v>1</v>
      </c>
    </row>
    <row r="120" spans="1:3">
      <c r="A120">
        <v>12</v>
      </c>
      <c r="B120" t="s">
        <v>429</v>
      </c>
      <c r="C120">
        <v>1</v>
      </c>
    </row>
    <row r="121" spans="1:3">
      <c r="A121">
        <v>12</v>
      </c>
      <c r="B121" t="s">
        <v>430</v>
      </c>
      <c r="C121">
        <v>1</v>
      </c>
    </row>
    <row r="122" spans="1:3">
      <c r="A122">
        <v>12</v>
      </c>
      <c r="B122" t="s">
        <v>431</v>
      </c>
      <c r="C122">
        <v>1</v>
      </c>
    </row>
    <row r="123" spans="1:3">
      <c r="A123">
        <v>12</v>
      </c>
      <c r="B123" t="s">
        <v>345</v>
      </c>
      <c r="C123">
        <v>1</v>
      </c>
    </row>
    <row r="124" spans="1:3">
      <c r="A124">
        <v>12</v>
      </c>
      <c r="B124" t="s">
        <v>432</v>
      </c>
      <c r="C124">
        <v>1</v>
      </c>
    </row>
    <row r="125" spans="1:3">
      <c r="A125">
        <v>11</v>
      </c>
      <c r="B125" t="s">
        <v>408</v>
      </c>
      <c r="C125">
        <v>1</v>
      </c>
    </row>
    <row r="126" spans="1:3">
      <c r="A126">
        <v>11</v>
      </c>
      <c r="B126" t="s">
        <v>433</v>
      </c>
      <c r="C126">
        <v>1</v>
      </c>
    </row>
    <row r="127" spans="1:3">
      <c r="A127">
        <v>11</v>
      </c>
      <c r="B127" t="s">
        <v>434</v>
      </c>
      <c r="C127">
        <v>1</v>
      </c>
    </row>
    <row r="128" spans="1:3">
      <c r="A128">
        <v>11</v>
      </c>
      <c r="B128" t="s">
        <v>435</v>
      </c>
      <c r="C128">
        <v>1</v>
      </c>
    </row>
    <row r="129" spans="1:3">
      <c r="A129">
        <v>11</v>
      </c>
      <c r="B129" t="s">
        <v>345</v>
      </c>
      <c r="C129">
        <v>1</v>
      </c>
    </row>
    <row r="130" spans="1:3">
      <c r="A130">
        <v>11</v>
      </c>
      <c r="B130" t="s">
        <v>436</v>
      </c>
      <c r="C130">
        <v>1</v>
      </c>
    </row>
    <row r="131" spans="1:3">
      <c r="A131">
        <v>9</v>
      </c>
      <c r="B131" t="s">
        <v>364</v>
      </c>
      <c r="C131">
        <v>1</v>
      </c>
    </row>
    <row r="132" spans="1:3">
      <c r="A132">
        <v>9</v>
      </c>
      <c r="B132" t="s">
        <v>365</v>
      </c>
      <c r="C132">
        <v>1</v>
      </c>
    </row>
    <row r="133" spans="1:3">
      <c r="A133">
        <v>9</v>
      </c>
      <c r="B133" t="s">
        <v>366</v>
      </c>
      <c r="C133">
        <v>1</v>
      </c>
    </row>
    <row r="134" spans="1:3">
      <c r="A134">
        <v>9</v>
      </c>
      <c r="B134" t="s">
        <v>363</v>
      </c>
      <c r="C134">
        <v>1</v>
      </c>
    </row>
    <row r="135" spans="1:3">
      <c r="A135">
        <v>10</v>
      </c>
      <c r="B135" t="s">
        <v>388</v>
      </c>
      <c r="C135">
        <v>1</v>
      </c>
    </row>
    <row r="136" spans="1:3">
      <c r="A136">
        <v>10</v>
      </c>
      <c r="B136" t="s">
        <v>432</v>
      </c>
      <c r="C136">
        <v>1</v>
      </c>
    </row>
    <row r="137" spans="1:3">
      <c r="A137">
        <v>10</v>
      </c>
      <c r="B137" t="s">
        <v>437</v>
      </c>
      <c r="C137">
        <v>1</v>
      </c>
    </row>
    <row r="138" spans="1:3">
      <c r="A138">
        <v>10</v>
      </c>
      <c r="B138" t="s">
        <v>438</v>
      </c>
      <c r="C138">
        <v>1</v>
      </c>
    </row>
    <row r="139" spans="1:3">
      <c r="A139">
        <v>10</v>
      </c>
      <c r="B139" t="s">
        <v>345</v>
      </c>
      <c r="C139">
        <v>1</v>
      </c>
    </row>
    <row r="140" spans="1:3">
      <c r="A140">
        <v>7</v>
      </c>
      <c r="B140" t="s">
        <v>439</v>
      </c>
      <c r="C140">
        <v>1</v>
      </c>
    </row>
    <row r="141" spans="1:3">
      <c r="A141">
        <v>7</v>
      </c>
      <c r="B141" t="s">
        <v>440</v>
      </c>
      <c r="C141">
        <v>1</v>
      </c>
    </row>
    <row r="142" spans="1:3">
      <c r="A142">
        <v>7</v>
      </c>
      <c r="B142" t="s">
        <v>441</v>
      </c>
      <c r="C142">
        <v>1</v>
      </c>
    </row>
    <row r="143" spans="1:3">
      <c r="A143">
        <v>7</v>
      </c>
      <c r="B143" t="s">
        <v>393</v>
      </c>
      <c r="C143">
        <v>1</v>
      </c>
    </row>
    <row r="144" spans="1:3">
      <c r="A144">
        <v>7</v>
      </c>
      <c r="B144" t="s">
        <v>442</v>
      </c>
      <c r="C144">
        <v>1</v>
      </c>
    </row>
    <row r="145" spans="1:3">
      <c r="A145">
        <v>7</v>
      </c>
      <c r="B145" t="s">
        <v>443</v>
      </c>
      <c r="C145">
        <v>1</v>
      </c>
    </row>
    <row r="146" spans="1:3">
      <c r="A146">
        <v>25</v>
      </c>
      <c r="B146" t="s">
        <v>345</v>
      </c>
      <c r="C146">
        <v>1</v>
      </c>
    </row>
    <row r="147" spans="1:3">
      <c r="A147">
        <v>17</v>
      </c>
      <c r="B147" t="s">
        <v>367</v>
      </c>
      <c r="C147">
        <v>1</v>
      </c>
    </row>
    <row r="148" spans="1:3">
      <c r="A148">
        <v>12</v>
      </c>
      <c r="B148" t="s">
        <v>367</v>
      </c>
      <c r="C148">
        <v>1</v>
      </c>
    </row>
    <row r="149" spans="1:3">
      <c r="A149">
        <v>2</v>
      </c>
      <c r="B149" t="s">
        <v>367</v>
      </c>
      <c r="C149">
        <v>1</v>
      </c>
    </row>
    <row r="150" spans="1:3">
      <c r="A150">
        <v>6</v>
      </c>
      <c r="B150" t="s">
        <v>367</v>
      </c>
      <c r="C150">
        <v>1</v>
      </c>
    </row>
    <row r="151" spans="1:3">
      <c r="A151">
        <v>5</v>
      </c>
      <c r="B151" t="s">
        <v>367</v>
      </c>
      <c r="C151">
        <v>1</v>
      </c>
    </row>
    <row r="152" spans="1:3">
      <c r="A152">
        <v>8</v>
      </c>
      <c r="B152" t="s">
        <v>367</v>
      </c>
      <c r="C152">
        <v>1</v>
      </c>
    </row>
    <row r="153" spans="1:3">
      <c r="A153">
        <v>9</v>
      </c>
      <c r="B153" t="s">
        <v>367</v>
      </c>
      <c r="C153">
        <v>1</v>
      </c>
    </row>
    <row r="154" spans="1:3">
      <c r="A154">
        <v>10</v>
      </c>
      <c r="B154" t="s">
        <v>367</v>
      </c>
      <c r="C154">
        <v>1</v>
      </c>
    </row>
    <row r="155" spans="1:3">
      <c r="A155">
        <v>11</v>
      </c>
      <c r="B155" t="s">
        <v>367</v>
      </c>
      <c r="C155">
        <v>1</v>
      </c>
    </row>
    <row r="156" spans="1:3">
      <c r="A156">
        <v>16</v>
      </c>
      <c r="B156" t="s">
        <v>367</v>
      </c>
      <c r="C156">
        <v>1</v>
      </c>
    </row>
    <row r="157" spans="1:3">
      <c r="A157">
        <v>9</v>
      </c>
      <c r="B157" t="s">
        <v>368</v>
      </c>
      <c r="C157">
        <v>1</v>
      </c>
    </row>
    <row r="158" spans="1:3">
      <c r="A158">
        <v>9</v>
      </c>
      <c r="B158" t="s">
        <v>369</v>
      </c>
      <c r="C158">
        <v>1</v>
      </c>
    </row>
    <row r="159" spans="1:3">
      <c r="A159">
        <v>15</v>
      </c>
      <c r="B159" t="s">
        <v>370</v>
      </c>
      <c r="C159">
        <v>1</v>
      </c>
    </row>
    <row r="160" spans="1:3">
      <c r="A160">
        <v>15</v>
      </c>
      <c r="B160" t="s">
        <v>371</v>
      </c>
      <c r="C160">
        <v>1</v>
      </c>
    </row>
    <row r="161" spans="1:3">
      <c r="A161">
        <v>15</v>
      </c>
      <c r="B161" t="s">
        <v>372</v>
      </c>
      <c r="C161">
        <v>1</v>
      </c>
    </row>
    <row r="162" spans="1:3">
      <c r="A162">
        <v>15</v>
      </c>
      <c r="B162" t="s">
        <v>373</v>
      </c>
      <c r="C162">
        <v>1</v>
      </c>
    </row>
    <row r="163" spans="1:3">
      <c r="A163">
        <v>15</v>
      </c>
      <c r="B163" t="s">
        <v>374</v>
      </c>
      <c r="C163">
        <v>1</v>
      </c>
    </row>
    <row r="164" spans="1:3">
      <c r="A164">
        <v>15</v>
      </c>
      <c r="B164" t="s">
        <v>444</v>
      </c>
      <c r="C164">
        <v>1</v>
      </c>
    </row>
    <row r="165" spans="1:3">
      <c r="A165">
        <v>15</v>
      </c>
      <c r="B165" t="s">
        <v>445</v>
      </c>
      <c r="C165">
        <v>1</v>
      </c>
    </row>
    <row r="166" spans="1:3">
      <c r="A166">
        <v>15</v>
      </c>
      <c r="B166" t="s">
        <v>446</v>
      </c>
      <c r="C166">
        <v>1</v>
      </c>
    </row>
    <row r="167" spans="1:3">
      <c r="A167">
        <v>15</v>
      </c>
      <c r="B167" t="s">
        <v>447</v>
      </c>
      <c r="C167">
        <v>1</v>
      </c>
    </row>
  </sheetData>
  <autoFilter ref="A1:C1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2020-01-02T01:47:38Z</dcterms:created>
  <dcterms:modified xsi:type="dcterms:W3CDTF">2020-01-02T03:04:42Z</dcterms:modified>
</cp:coreProperties>
</file>